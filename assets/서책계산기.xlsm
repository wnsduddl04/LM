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nsdu\Desktop\비지\"/>
    </mc:Choice>
  </mc:AlternateContent>
  <xr:revisionPtr revIDLastSave="0" documentId="13_ncr:1_{E7DE1199-6AF2-4409-94CB-505E55550FFC}" xr6:coauthVersionLast="47" xr6:coauthVersionMax="47" xr10:uidLastSave="{00000000-0000-0000-0000-000000000000}"/>
  <bookViews>
    <workbookView xWindow="-120" yWindow="-120" windowWidth="25440" windowHeight="15390" firstSheet="1" activeTab="2" xr2:uid="{00000000-000D-0000-FFFF-FFFF00000000}"/>
  </bookViews>
  <sheets>
    <sheet name="필독) 사용방법" sheetId="7" state="veryHidden" r:id="rId1"/>
    <sheet name="성장 시뮬레이터" sheetId="6" r:id="rId2"/>
    <sheet name="최종장수능력치" sheetId="5" r:id="rId3"/>
    <sheet name="서책입력" sheetId="3" state="veryHidden" r:id="rId4"/>
    <sheet name="연맹원관리1" sheetId="8" state="veryHidden" r:id="rId5"/>
    <sheet name="연맹원관리2 (단약)" sheetId="10" state="veryHidden" r:id="rId6"/>
    <sheet name="초기영웅데이터" sheetId="4" state="veryHidden" r:id="rId7"/>
  </sheets>
  <externalReferences>
    <externalReference r:id="rId8"/>
  </externalReferences>
  <definedNames>
    <definedName name="ExternalData_1" localSheetId="4" hidden="1">연맹원관리1!$A$1:$A$11</definedName>
    <definedName name="基1">'[1]만두, 상자'!$AB$13</definedName>
    <definedName name="基2">'[1]만두, 상자'!$AC$13</definedName>
    <definedName name="基3">'[1]만두, 상자'!$AD$13</definedName>
    <definedName name="基4">'[1]만두, 상자'!$AE$13</definedName>
    <definedName name="基5">'[1]만두, 상자'!$AF$13</definedName>
    <definedName name="基6">'[1]만두, 상자'!$AG$13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S17" i="3" l="1"/>
  <c r="AT17" i="3"/>
  <c r="AU17" i="3"/>
  <c r="AV17" i="3"/>
  <c r="AW17" i="3"/>
  <c r="AX17" i="3"/>
  <c r="AY17" i="3"/>
  <c r="AZ17" i="3"/>
  <c r="BA17" i="3"/>
  <c r="BB17" i="3"/>
  <c r="AS18" i="3"/>
  <c r="AT18" i="3"/>
  <c r="AU18" i="3"/>
  <c r="AV18" i="3"/>
  <c r="AW18" i="3"/>
  <c r="AX18" i="3"/>
  <c r="AY18" i="3"/>
  <c r="AZ18" i="3"/>
  <c r="BA18" i="3"/>
  <c r="BB18" i="3"/>
  <c r="C7" i="6"/>
  <c r="E82" i="3" a="1"/>
  <c r="E82" i="3" s="1"/>
  <c r="D16" i="5" a="1"/>
  <c r="D16" i="5" s="1"/>
  <c r="D59" i="5" a="1"/>
  <c r="D59" i="5" s="1"/>
  <c r="D51" i="5" a="1"/>
  <c r="D51" i="5" s="1"/>
  <c r="D71" i="5" a="1"/>
  <c r="D71" i="5" s="1"/>
  <c r="D42" i="5" a="1"/>
  <c r="D42" i="5" s="1"/>
  <c r="D37" i="5" a="1"/>
  <c r="D37" i="5" s="1"/>
  <c r="D35" i="5" a="1"/>
  <c r="D35" i="5" s="1"/>
  <c r="D49" i="5" a="1"/>
  <c r="D49" i="5" s="1"/>
  <c r="D67" i="5" a="1"/>
  <c r="D67" i="5" s="1"/>
  <c r="D65" i="5" a="1"/>
  <c r="D65" i="5" s="1"/>
  <c r="D22" i="5" a="1"/>
  <c r="D22" i="5" s="1"/>
  <c r="D28" i="5" a="1"/>
  <c r="D28" i="5" s="1"/>
  <c r="D56" i="5" a="1"/>
  <c r="D56" i="5" s="1"/>
  <c r="D23" i="5" a="1"/>
  <c r="D23" i="5" s="1"/>
  <c r="D53" i="5" a="1"/>
  <c r="D53" i="5" s="1"/>
  <c r="D55" i="5" a="1"/>
  <c r="D55" i="5" s="1"/>
  <c r="D9" i="5" a="1"/>
  <c r="D9" i="5" s="1"/>
  <c r="D60" i="5" a="1"/>
  <c r="D60" i="5" s="1"/>
  <c r="D41" i="5" a="1"/>
  <c r="D41" i="5" s="1"/>
  <c r="D38" i="5" a="1"/>
  <c r="D38" i="5" s="1"/>
  <c r="D69" i="5" a="1"/>
  <c r="D69" i="5" s="1"/>
  <c r="D14" i="5" a="1"/>
  <c r="D14" i="5" s="1"/>
  <c r="D47" i="5" a="1"/>
  <c r="D47" i="5" s="1"/>
  <c r="D61" i="5" a="1"/>
  <c r="D61" i="5" s="1"/>
  <c r="D11" i="5" a="1"/>
  <c r="D11" i="5" s="1"/>
  <c r="D50" i="5" a="1"/>
  <c r="D50" i="5" s="1"/>
  <c r="D57" i="5" a="1"/>
  <c r="D57" i="5" s="1"/>
  <c r="D15" i="5" a="1"/>
  <c r="D15" i="5" s="1"/>
  <c r="D20" i="5" a="1"/>
  <c r="D20" i="5" s="1"/>
  <c r="D34" i="5" a="1"/>
  <c r="D34" i="5" s="1"/>
  <c r="D74" i="5" a="1"/>
  <c r="D74" i="5" s="1"/>
  <c r="D27" i="5" a="1"/>
  <c r="D27" i="5" s="1"/>
  <c r="D63" i="5" a="1"/>
  <c r="D63" i="5" s="1"/>
  <c r="D33" i="5" a="1"/>
  <c r="D33" i="5" s="1"/>
  <c r="D46" i="5" a="1"/>
  <c r="D46" i="5" s="1"/>
  <c r="D40" i="5" a="1"/>
  <c r="D40" i="5" s="1"/>
  <c r="D10" i="5" a="1"/>
  <c r="D10" i="5" s="1"/>
  <c r="D77" i="5" a="1"/>
  <c r="D77" i="5" s="1"/>
  <c r="D36" i="5" a="1"/>
  <c r="D36" i="5" s="1"/>
  <c r="D70" i="5" a="1"/>
  <c r="D70" i="5" s="1"/>
  <c r="D68" i="5" a="1"/>
  <c r="D68" i="5" s="1"/>
  <c r="D52" i="5" a="1"/>
  <c r="D52" i="5" s="1"/>
  <c r="D26" i="5" a="1"/>
  <c r="D26" i="5" s="1"/>
  <c r="D76" i="5" a="1"/>
  <c r="D76" i="5" s="1"/>
  <c r="D73" i="5" a="1"/>
  <c r="D73" i="5" s="1"/>
  <c r="D44" i="5" a="1"/>
  <c r="D44" i="5" s="1"/>
  <c r="D12" i="5" a="1"/>
  <c r="D12" i="5" s="1"/>
  <c r="D72" i="5" a="1"/>
  <c r="D72" i="5" s="1"/>
  <c r="D19" i="5" a="1"/>
  <c r="D19" i="5" s="1"/>
  <c r="D58" i="5" a="1"/>
  <c r="D58" i="5" s="1"/>
  <c r="D66" i="5" a="1"/>
  <c r="D66" i="5" s="1"/>
  <c r="D13" i="5" a="1"/>
  <c r="D13" i="5" s="1"/>
  <c r="D62" i="5" a="1"/>
  <c r="D62" i="5" s="1"/>
  <c r="D32" i="5" a="1"/>
  <c r="D32" i="5" s="1"/>
  <c r="D31" i="5" a="1"/>
  <c r="D31" i="5" s="1"/>
  <c r="D17" i="5" a="1"/>
  <c r="D17" i="5" s="1"/>
  <c r="D29" i="5" a="1"/>
  <c r="D29" i="5" s="1"/>
  <c r="D21" i="5" a="1"/>
  <c r="D21" i="5" s="1"/>
  <c r="D48" i="5" a="1"/>
  <c r="D48" i="5" s="1"/>
  <c r="D54" i="5" a="1"/>
  <c r="D54" i="5" s="1"/>
  <c r="D64" i="5" a="1"/>
  <c r="D64" i="5" s="1"/>
  <c r="D39" i="5" a="1"/>
  <c r="D39" i="5" s="1"/>
  <c r="D18" i="5" a="1"/>
  <c r="D18" i="5" s="1"/>
  <c r="D25" i="5" a="1"/>
  <c r="D25" i="5" s="1"/>
  <c r="D24" i="5" a="1"/>
  <c r="D24" i="5" s="1"/>
  <c r="D45" i="5" a="1"/>
  <c r="D45" i="5" s="1"/>
  <c r="D75" i="5" a="1"/>
  <c r="D75" i="5" s="1"/>
  <c r="D30" i="5" a="1"/>
  <c r="D30" i="5" s="1"/>
  <c r="D43" i="5" a="1"/>
  <c r="D43" i="5" s="1"/>
  <c r="E26" i="5" a="1"/>
  <c r="E26" i="5" s="1"/>
  <c r="E76" i="5" a="1"/>
  <c r="E76" i="5" s="1"/>
  <c r="E73" i="5" a="1"/>
  <c r="E73" i="5" s="1"/>
  <c r="E44" i="5" a="1"/>
  <c r="E44" i="5" s="1"/>
  <c r="E12" i="5" a="1"/>
  <c r="E12" i="5" s="1"/>
  <c r="E72" i="5" a="1"/>
  <c r="E72" i="5" s="1"/>
  <c r="E19" i="5" a="1"/>
  <c r="E19" i="5" s="1"/>
  <c r="E58" i="5" a="1"/>
  <c r="E58" i="5" s="1"/>
  <c r="E66" i="5" a="1"/>
  <c r="E66" i="5" s="1"/>
  <c r="E13" i="5" a="1"/>
  <c r="E13" i="5" s="1"/>
  <c r="E62" i="5" a="1"/>
  <c r="E62" i="5" s="1"/>
  <c r="E32" i="5" a="1"/>
  <c r="E32" i="5" s="1"/>
  <c r="E31" i="5" a="1"/>
  <c r="E31" i="5" s="1"/>
  <c r="E17" i="5" a="1"/>
  <c r="E17" i="5" s="1"/>
  <c r="E29" i="5" a="1"/>
  <c r="E29" i="5" s="1"/>
  <c r="E21" i="5" a="1"/>
  <c r="E21" i="5" s="1"/>
  <c r="E48" i="5" a="1"/>
  <c r="E48" i="5" s="1"/>
  <c r="E54" i="5" a="1"/>
  <c r="E54" i="5" s="1"/>
  <c r="E64" i="5" a="1"/>
  <c r="E64" i="5" s="1"/>
  <c r="E39" i="5" a="1"/>
  <c r="E39" i="5" s="1"/>
  <c r="E18" i="5" a="1"/>
  <c r="E18" i="5" s="1"/>
  <c r="E25" i="5" a="1"/>
  <c r="E25" i="5" s="1"/>
  <c r="E24" i="5" a="1"/>
  <c r="E24" i="5" s="1"/>
  <c r="E45" i="5" a="1"/>
  <c r="E45" i="5" s="1"/>
  <c r="E75" i="5" a="1"/>
  <c r="E75" i="5" s="1"/>
  <c r="E30" i="5" a="1"/>
  <c r="E30" i="5" s="1"/>
  <c r="E43" i="5" a="1"/>
  <c r="E43" i="5" s="1"/>
  <c r="E52" i="5" a="1"/>
  <c r="E52" i="5" s="1"/>
  <c r="E40" i="5" a="1"/>
  <c r="E40" i="5" s="1"/>
  <c r="E10" i="5" a="1"/>
  <c r="E10" i="5" s="1"/>
  <c r="E77" i="5" a="1"/>
  <c r="E77" i="5" s="1"/>
  <c r="E36" i="5" a="1"/>
  <c r="E36" i="5" s="1"/>
  <c r="E70" i="5" a="1"/>
  <c r="E70" i="5" s="1"/>
  <c r="E68" i="5" a="1"/>
  <c r="E68" i="5" s="1"/>
  <c r="E46" i="5" a="1"/>
  <c r="E46" i="5" s="1"/>
  <c r="E65" i="5" a="1"/>
  <c r="E65" i="5" s="1"/>
  <c r="E22" i="5" a="1"/>
  <c r="E22" i="5" s="1"/>
  <c r="E28" i="5" a="1"/>
  <c r="E28" i="5" s="1"/>
  <c r="E56" i="5" a="1"/>
  <c r="E56" i="5" s="1"/>
  <c r="E23" i="5" a="1"/>
  <c r="E23" i="5" s="1"/>
  <c r="E53" i="5" a="1"/>
  <c r="E53" i="5" s="1"/>
  <c r="E55" i="5" a="1"/>
  <c r="E55" i="5" s="1"/>
  <c r="E9" i="5" a="1"/>
  <c r="E9" i="5" s="1"/>
  <c r="E60" i="5" a="1"/>
  <c r="E60" i="5" s="1"/>
  <c r="E41" i="5" a="1"/>
  <c r="E41" i="5" s="1"/>
  <c r="E38" i="5" a="1"/>
  <c r="E38" i="5" s="1"/>
  <c r="E69" i="5" a="1"/>
  <c r="E69" i="5" s="1"/>
  <c r="E14" i="5" a="1"/>
  <c r="E14" i="5" s="1"/>
  <c r="E47" i="5" a="1"/>
  <c r="E47" i="5" s="1"/>
  <c r="E61" i="5" a="1"/>
  <c r="E61" i="5" s="1"/>
  <c r="E11" i="5" a="1"/>
  <c r="E11" i="5" s="1"/>
  <c r="E50" i="5" a="1"/>
  <c r="E50" i="5" s="1"/>
  <c r="E57" i="5" a="1"/>
  <c r="E57" i="5" s="1"/>
  <c r="E15" i="5" a="1"/>
  <c r="E15" i="5" s="1"/>
  <c r="E20" i="5" a="1"/>
  <c r="E20" i="5" s="1"/>
  <c r="E34" i="5" a="1"/>
  <c r="E34" i="5" s="1"/>
  <c r="E74" i="5" a="1"/>
  <c r="E74" i="5" s="1"/>
  <c r="E27" i="5" a="1"/>
  <c r="E27" i="5" s="1"/>
  <c r="E63" i="5" a="1"/>
  <c r="E63" i="5" s="1"/>
  <c r="E33" i="5" a="1"/>
  <c r="E33" i="5" s="1"/>
  <c r="E67" i="5" a="1"/>
  <c r="E67" i="5" s="1"/>
  <c r="E59" i="5" a="1"/>
  <c r="E59" i="5" s="1"/>
  <c r="E51" i="5" a="1"/>
  <c r="E51" i="5" s="1"/>
  <c r="E71" i="5" a="1"/>
  <c r="E71" i="5" s="1"/>
  <c r="E42" i="5" a="1"/>
  <c r="E42" i="5" s="1"/>
  <c r="E37" i="5" a="1"/>
  <c r="E37" i="5" s="1"/>
  <c r="E35" i="5" a="1"/>
  <c r="E35" i="5" s="1"/>
  <c r="E49" i="5" a="1"/>
  <c r="E49" i="5" s="1"/>
  <c r="E16" i="5" a="1"/>
  <c r="E16" i="5" s="1"/>
  <c r="E4" i="3" a="1"/>
  <c r="E4" i="3" s="1"/>
  <c r="E5" i="3" a="1"/>
  <c r="E5" i="3" s="1"/>
  <c r="E6" i="3" a="1"/>
  <c r="E6" i="3" s="1"/>
  <c r="E7" i="3" a="1"/>
  <c r="E7" i="3" s="1"/>
  <c r="E8" i="3" a="1"/>
  <c r="E8" i="3" s="1"/>
  <c r="E9" i="3" a="1"/>
  <c r="E9" i="3" s="1"/>
  <c r="E10" i="3" a="1"/>
  <c r="E10" i="3" s="1"/>
  <c r="E11" i="3" a="1"/>
  <c r="E11" i="3" s="1"/>
  <c r="E12" i="3" a="1"/>
  <c r="E12" i="3" s="1"/>
  <c r="E13" i="3" a="1"/>
  <c r="E13" i="3" s="1"/>
  <c r="E14" i="3" a="1"/>
  <c r="E14" i="3" s="1"/>
  <c r="E15" i="3" a="1"/>
  <c r="E15" i="3" s="1"/>
  <c r="Q15" i="3" s="1"/>
  <c r="E16" i="3" a="1"/>
  <c r="E16" i="3" s="1"/>
  <c r="E17" i="3" a="1"/>
  <c r="E17" i="3" s="1"/>
  <c r="Z17" i="3" s="1"/>
  <c r="E18" i="3" a="1"/>
  <c r="E18" i="3" s="1"/>
  <c r="X18" i="3" s="1"/>
  <c r="E19" i="3" a="1"/>
  <c r="E19" i="3" s="1"/>
  <c r="E20" i="3" a="1"/>
  <c r="E20" i="3" s="1"/>
  <c r="E21" i="3" a="1"/>
  <c r="E21" i="3" s="1"/>
  <c r="E22" i="3" a="1"/>
  <c r="E22" i="3" s="1"/>
  <c r="E23" i="3" a="1"/>
  <c r="E23" i="3" s="1"/>
  <c r="E24" i="3" a="1"/>
  <c r="E24" i="3" s="1"/>
  <c r="E25" i="3" a="1"/>
  <c r="E25" i="3" s="1"/>
  <c r="E26" i="3" a="1"/>
  <c r="E26" i="3" s="1"/>
  <c r="E27" i="3" a="1"/>
  <c r="E27" i="3" s="1"/>
  <c r="E28" i="3" a="1"/>
  <c r="E28" i="3" s="1"/>
  <c r="E29" i="3" a="1"/>
  <c r="E29" i="3" s="1"/>
  <c r="E30" i="3" a="1"/>
  <c r="E30" i="3" s="1"/>
  <c r="E31" i="3" a="1"/>
  <c r="E31" i="3" s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E39" i="3" a="1"/>
  <c r="E39" i="3" s="1"/>
  <c r="X39" i="3" s="1"/>
  <c r="E40" i="3" a="1"/>
  <c r="E40" i="3" s="1"/>
  <c r="Y40" i="3" s="1"/>
  <c r="E41" i="3" a="1"/>
  <c r="E41" i="3" s="1"/>
  <c r="Z41" i="3" s="1"/>
  <c r="E42" i="3" a="1"/>
  <c r="E42" i="3" s="1"/>
  <c r="X42" i="3" s="1"/>
  <c r="E43" i="3" a="1"/>
  <c r="E43" i="3" s="1"/>
  <c r="E44" i="3" a="1"/>
  <c r="E44" i="3" s="1"/>
  <c r="E45" i="3" a="1"/>
  <c r="E45" i="3" s="1"/>
  <c r="E46" i="3" a="1"/>
  <c r="E46" i="3" s="1"/>
  <c r="E47" i="3" a="1"/>
  <c r="E47" i="3" s="1"/>
  <c r="E48" i="3" a="1"/>
  <c r="E48" i="3" s="1"/>
  <c r="E49" i="3" a="1"/>
  <c r="E49" i="3" s="1"/>
  <c r="E50" i="3" a="1"/>
  <c r="E50" i="3" s="1"/>
  <c r="E51" i="3" a="1"/>
  <c r="E51" i="3" s="1"/>
  <c r="E52" i="3" a="1"/>
  <c r="E52" i="3" s="1"/>
  <c r="E53" i="3" a="1"/>
  <c r="E53" i="3" s="1"/>
  <c r="E54" i="3" a="1"/>
  <c r="E54" i="3" s="1"/>
  <c r="E55" i="3" a="1"/>
  <c r="E55" i="3" s="1"/>
  <c r="E56" i="3" a="1"/>
  <c r="E56" i="3" s="1"/>
  <c r="E57" i="3" a="1"/>
  <c r="E57" i="3" s="1"/>
  <c r="E58" i="3" a="1"/>
  <c r="E58" i="3" s="1"/>
  <c r="E59" i="3" a="1"/>
  <c r="E59" i="3" s="1"/>
  <c r="E60" i="3" a="1"/>
  <c r="E60" i="3" s="1"/>
  <c r="E61" i="3" a="1"/>
  <c r="E61" i="3" s="1"/>
  <c r="E62" i="3" a="1"/>
  <c r="E62" i="3" s="1"/>
  <c r="E63" i="3" a="1"/>
  <c r="E63" i="3" s="1"/>
  <c r="Y63" i="3" s="1"/>
  <c r="E64" i="3" a="1"/>
  <c r="E64" i="3" s="1"/>
  <c r="S64" i="3" s="1"/>
  <c r="E65" i="3" a="1"/>
  <c r="E65" i="3" s="1"/>
  <c r="E66" i="3" a="1"/>
  <c r="E66" i="3" s="1"/>
  <c r="E67" i="3" a="1"/>
  <c r="E67" i="3" s="1"/>
  <c r="E68" i="3" a="1"/>
  <c r="E68" i="3" s="1"/>
  <c r="E69" i="3" a="1"/>
  <c r="E69" i="3" s="1"/>
  <c r="E70" i="3" a="1"/>
  <c r="E70" i="3" s="1"/>
  <c r="E71" i="3" a="1"/>
  <c r="E71" i="3" s="1"/>
  <c r="E72" i="3" a="1"/>
  <c r="E72" i="3" s="1"/>
  <c r="E73" i="3" a="1"/>
  <c r="E73" i="3" s="1"/>
  <c r="E74" i="3" a="1"/>
  <c r="E74" i="3" s="1"/>
  <c r="E75" i="3" a="1"/>
  <c r="E75" i="3" s="1"/>
  <c r="E76" i="3" a="1"/>
  <c r="E76" i="3" s="1"/>
  <c r="E77" i="3" a="1"/>
  <c r="E77" i="3" s="1"/>
  <c r="E78" i="3" a="1"/>
  <c r="E78" i="3" s="1"/>
  <c r="E79" i="3" a="1"/>
  <c r="E79" i="3" s="1"/>
  <c r="E80" i="3" a="1"/>
  <c r="E80" i="3" s="1"/>
  <c r="E81" i="3" a="1"/>
  <c r="E81" i="3" s="1"/>
  <c r="E83" i="3" a="1"/>
  <c r="E83" i="3" s="1"/>
  <c r="E84" i="3" a="1"/>
  <c r="E84" i="3" s="1"/>
  <c r="E85" i="3" a="1"/>
  <c r="E85" i="3" s="1"/>
  <c r="E86" i="3" a="1"/>
  <c r="E86" i="3" s="1"/>
  <c r="E87" i="3" a="1"/>
  <c r="E87" i="3" s="1"/>
  <c r="E88" i="3" a="1"/>
  <c r="E88" i="3" s="1"/>
  <c r="E89" i="3" a="1"/>
  <c r="E89" i="3" s="1"/>
  <c r="E90" i="3" a="1"/>
  <c r="E90" i="3" s="1"/>
  <c r="E3" i="3" a="1"/>
  <c r="E3" i="3" s="1"/>
  <c r="AS41" i="3"/>
  <c r="AT41" i="3"/>
  <c r="AU41" i="3"/>
  <c r="AV41" i="3"/>
  <c r="AW41" i="3"/>
  <c r="AX41" i="3"/>
  <c r="AY41" i="3"/>
  <c r="AZ41" i="3"/>
  <c r="BA41" i="3"/>
  <c r="BB41" i="3"/>
  <c r="AS42" i="3"/>
  <c r="AT42" i="3"/>
  <c r="AU42" i="3"/>
  <c r="AV42" i="3"/>
  <c r="AW42" i="3"/>
  <c r="AX42" i="3"/>
  <c r="AY42" i="3"/>
  <c r="AZ42" i="3"/>
  <c r="BA42" i="3"/>
  <c r="BB42" i="3"/>
  <c r="AS64" i="3"/>
  <c r="AT64" i="3"/>
  <c r="AU64" i="3"/>
  <c r="AV64" i="3"/>
  <c r="AW64" i="3"/>
  <c r="AX64" i="3"/>
  <c r="AY64" i="3"/>
  <c r="AZ64" i="3"/>
  <c r="BA64" i="3"/>
  <c r="BB64" i="3"/>
  <c r="AS65" i="3"/>
  <c r="AT65" i="3"/>
  <c r="AU65" i="3"/>
  <c r="AV65" i="3"/>
  <c r="AW65" i="3"/>
  <c r="AX65" i="3"/>
  <c r="AY65" i="3"/>
  <c r="AZ65" i="3"/>
  <c r="BA65" i="3"/>
  <c r="BB65" i="3"/>
  <c r="AS82" i="3"/>
  <c r="AT82" i="3"/>
  <c r="AU82" i="3"/>
  <c r="AV82" i="3"/>
  <c r="AW82" i="3"/>
  <c r="AX82" i="3"/>
  <c r="AY82" i="3"/>
  <c r="AZ82" i="3"/>
  <c r="BA82" i="3"/>
  <c r="BB82" i="3"/>
  <c r="AS83" i="3"/>
  <c r="AT83" i="3"/>
  <c r="AU83" i="3"/>
  <c r="AV83" i="3"/>
  <c r="AW83" i="3"/>
  <c r="AX83" i="3"/>
  <c r="AY83" i="3"/>
  <c r="AZ83" i="3"/>
  <c r="BA83" i="3"/>
  <c r="BB83" i="3"/>
  <c r="AS84" i="3"/>
  <c r="AT84" i="3"/>
  <c r="AU84" i="3"/>
  <c r="AV84" i="3"/>
  <c r="AW84" i="3"/>
  <c r="AX84" i="3"/>
  <c r="AY84" i="3"/>
  <c r="AZ84" i="3"/>
  <c r="BA84" i="3"/>
  <c r="BB84" i="3"/>
  <c r="AS85" i="3"/>
  <c r="AT85" i="3"/>
  <c r="AU85" i="3"/>
  <c r="AV85" i="3"/>
  <c r="AW85" i="3"/>
  <c r="AX85" i="3"/>
  <c r="AY85" i="3"/>
  <c r="AZ85" i="3"/>
  <c r="BA85" i="3"/>
  <c r="BB85" i="3"/>
  <c r="AS62" i="3"/>
  <c r="AT62" i="3"/>
  <c r="AU62" i="3"/>
  <c r="AV62" i="3"/>
  <c r="AW62" i="3"/>
  <c r="AX62" i="3"/>
  <c r="AY62" i="3"/>
  <c r="AZ62" i="3"/>
  <c r="BA62" i="3"/>
  <c r="BB62" i="3"/>
  <c r="AS63" i="3"/>
  <c r="AT63" i="3"/>
  <c r="AU63" i="3"/>
  <c r="AV63" i="3"/>
  <c r="AW63" i="3"/>
  <c r="AX63" i="3"/>
  <c r="AY63" i="3"/>
  <c r="AZ63" i="3"/>
  <c r="BA63" i="3"/>
  <c r="BB63" i="3"/>
  <c r="AU39" i="3"/>
  <c r="AV39" i="3"/>
  <c r="AW39" i="3"/>
  <c r="AX39" i="3"/>
  <c r="AY39" i="3"/>
  <c r="AZ39" i="3"/>
  <c r="BA39" i="3"/>
  <c r="BB39" i="3"/>
  <c r="AU40" i="3"/>
  <c r="AV40" i="3"/>
  <c r="AW40" i="3"/>
  <c r="AX40" i="3"/>
  <c r="AY40" i="3"/>
  <c r="AZ40" i="3"/>
  <c r="BA40" i="3"/>
  <c r="BB40" i="3"/>
  <c r="AS39" i="3"/>
  <c r="AT39" i="3"/>
  <c r="AS40" i="3"/>
  <c r="AT40" i="3"/>
  <c r="BB15" i="3"/>
  <c r="BA15" i="3"/>
  <c r="AZ15" i="3"/>
  <c r="AY15" i="3"/>
  <c r="AX15" i="3"/>
  <c r="AW15" i="3"/>
  <c r="AV15" i="3"/>
  <c r="AU15" i="3"/>
  <c r="AT15" i="3"/>
  <c r="AS15" i="3"/>
  <c r="H84" i="3"/>
  <c r="I84" i="3"/>
  <c r="H85" i="3"/>
  <c r="I85" i="3"/>
  <c r="H65" i="3"/>
  <c r="I65" i="3"/>
  <c r="H64" i="3"/>
  <c r="I64" i="3"/>
  <c r="H41" i="3"/>
  <c r="I41" i="3"/>
  <c r="H42" i="3"/>
  <c r="I42" i="3"/>
  <c r="H17" i="3"/>
  <c r="I17" i="3"/>
  <c r="H18" i="3"/>
  <c r="I18" i="3"/>
  <c r="H82" i="3"/>
  <c r="I82" i="3"/>
  <c r="H83" i="3"/>
  <c r="I83" i="3"/>
  <c r="H62" i="3"/>
  <c r="I62" i="3"/>
  <c r="H63" i="3"/>
  <c r="I63" i="3"/>
  <c r="H39" i="3"/>
  <c r="I39" i="3"/>
  <c r="H40" i="3"/>
  <c r="I40" i="3"/>
  <c r="H15" i="3"/>
  <c r="I15" i="3"/>
  <c r="O41" i="3" l="1"/>
  <c r="O85" i="3"/>
  <c r="J84" i="3"/>
  <c r="O64" i="3"/>
  <c r="J85" i="3"/>
  <c r="K84" i="3"/>
  <c r="K65" i="3"/>
  <c r="E5" i="6"/>
  <c r="E6" i="6"/>
  <c r="Z63" i="3"/>
  <c r="X63" i="3"/>
  <c r="Q85" i="3"/>
  <c r="Y85" i="3"/>
  <c r="Z85" i="3"/>
  <c r="R85" i="3"/>
  <c r="Z84" i="3"/>
  <c r="S84" i="3"/>
  <c r="R84" i="3"/>
  <c r="Q84" i="3"/>
  <c r="Y84" i="3"/>
  <c r="R82" i="3"/>
  <c r="S82" i="3"/>
  <c r="T82" i="3"/>
  <c r="U82" i="3"/>
  <c r="Q82" i="3"/>
  <c r="V82" i="3"/>
  <c r="W82" i="3"/>
  <c r="Y82" i="3"/>
  <c r="X82" i="3"/>
  <c r="Z82" i="3"/>
  <c r="Z62" i="3"/>
  <c r="Q62" i="3"/>
  <c r="W62" i="3"/>
  <c r="Y62" i="3"/>
  <c r="R62" i="3"/>
  <c r="S62" i="3"/>
  <c r="U62" i="3"/>
  <c r="T62" i="3"/>
  <c r="X62" i="3"/>
  <c r="V62" i="3"/>
  <c r="W83" i="3"/>
  <c r="V83" i="3"/>
  <c r="T83" i="3"/>
  <c r="U65" i="3"/>
  <c r="Z65" i="3"/>
  <c r="S65" i="3"/>
  <c r="R65" i="3"/>
  <c r="Y65" i="3"/>
  <c r="T65" i="3"/>
  <c r="V63" i="3"/>
  <c r="W63" i="3"/>
  <c r="T63" i="3"/>
  <c r="U63" i="3"/>
  <c r="S63" i="3"/>
  <c r="R63" i="3"/>
  <c r="Q63" i="3"/>
  <c r="X85" i="3"/>
  <c r="V85" i="3"/>
  <c r="W84" i="3"/>
  <c r="S83" i="3"/>
  <c r="R83" i="3"/>
  <c r="W85" i="3"/>
  <c r="X84" i="3"/>
  <c r="Q83" i="3"/>
  <c r="U85" i="3"/>
  <c r="V84" i="3"/>
  <c r="T85" i="3"/>
  <c r="U84" i="3"/>
  <c r="Z83" i="3"/>
  <c r="S85" i="3"/>
  <c r="T84" i="3"/>
  <c r="Y83" i="3"/>
  <c r="X83" i="3"/>
  <c r="U83" i="3"/>
  <c r="Q64" i="3"/>
  <c r="Q65" i="3"/>
  <c r="T64" i="3"/>
  <c r="R64" i="3"/>
  <c r="Y64" i="3"/>
  <c r="Z64" i="3"/>
  <c r="X64" i="3"/>
  <c r="X65" i="3"/>
  <c r="W64" i="3"/>
  <c r="W65" i="3"/>
  <c r="V64" i="3"/>
  <c r="V65" i="3"/>
  <c r="U64" i="3"/>
  <c r="S42" i="3"/>
  <c r="Q42" i="3"/>
  <c r="V42" i="3"/>
  <c r="R42" i="3"/>
  <c r="T42" i="3"/>
  <c r="Z42" i="3"/>
  <c r="W42" i="3"/>
  <c r="U42" i="3"/>
  <c r="Y42" i="3"/>
  <c r="U41" i="3"/>
  <c r="V41" i="3"/>
  <c r="T41" i="3"/>
  <c r="Y41" i="3"/>
  <c r="W41" i="3"/>
  <c r="S41" i="3"/>
  <c r="X41" i="3"/>
  <c r="Q41" i="3"/>
  <c r="R41" i="3"/>
  <c r="Q40" i="3"/>
  <c r="X40" i="3"/>
  <c r="W40" i="3"/>
  <c r="V40" i="3"/>
  <c r="U40" i="3"/>
  <c r="T40" i="3"/>
  <c r="S40" i="3"/>
  <c r="R40" i="3"/>
  <c r="Z40" i="3"/>
  <c r="T39" i="3"/>
  <c r="W39" i="3"/>
  <c r="U39" i="3"/>
  <c r="S39" i="3"/>
  <c r="V39" i="3"/>
  <c r="R39" i="3"/>
  <c r="Q39" i="3"/>
  <c r="Z39" i="3"/>
  <c r="Y39" i="3"/>
  <c r="V18" i="3"/>
  <c r="S18" i="3"/>
  <c r="U18" i="3"/>
  <c r="Q18" i="3"/>
  <c r="T18" i="3"/>
  <c r="R18" i="3"/>
  <c r="Z18" i="3"/>
  <c r="Y18" i="3"/>
  <c r="W18" i="3"/>
  <c r="Y17" i="3"/>
  <c r="W17" i="3"/>
  <c r="X17" i="3"/>
  <c r="V17" i="3"/>
  <c r="S17" i="3"/>
  <c r="R17" i="3"/>
  <c r="U17" i="3"/>
  <c r="T17" i="3"/>
  <c r="Q17" i="3"/>
  <c r="Y15" i="3"/>
  <c r="W15" i="3"/>
  <c r="Z15" i="3"/>
  <c r="V15" i="3"/>
  <c r="U15" i="3"/>
  <c r="T15" i="3"/>
  <c r="S15" i="3"/>
  <c r="X15" i="3"/>
  <c r="R15" i="3"/>
  <c r="K85" i="3"/>
  <c r="O84" i="3"/>
  <c r="N84" i="3"/>
  <c r="M84" i="3"/>
  <c r="L84" i="3"/>
  <c r="J65" i="3"/>
  <c r="N85" i="3"/>
  <c r="M85" i="3"/>
  <c r="L85" i="3"/>
  <c r="J64" i="3"/>
  <c r="N65" i="3"/>
  <c r="O65" i="3"/>
  <c r="M65" i="3"/>
  <c r="L65" i="3"/>
  <c r="N17" i="3"/>
  <c r="J41" i="3"/>
  <c r="N64" i="3"/>
  <c r="M64" i="3"/>
  <c r="L64" i="3"/>
  <c r="K64" i="3"/>
  <c r="J17" i="3"/>
  <c r="J42" i="3"/>
  <c r="N41" i="3"/>
  <c r="M41" i="3"/>
  <c r="L41" i="3"/>
  <c r="K41" i="3"/>
  <c r="N62" i="3"/>
  <c r="J18" i="3"/>
  <c r="O42" i="3"/>
  <c r="N42" i="3"/>
  <c r="M42" i="3"/>
  <c r="L42" i="3"/>
  <c r="K42" i="3"/>
  <c r="L40" i="3"/>
  <c r="O82" i="3"/>
  <c r="O17" i="3"/>
  <c r="M17" i="3"/>
  <c r="L17" i="3"/>
  <c r="K17" i="3"/>
  <c r="J62" i="3"/>
  <c r="O18" i="3"/>
  <c r="J82" i="3"/>
  <c r="N18" i="3"/>
  <c r="M18" i="3"/>
  <c r="L18" i="3"/>
  <c r="K18" i="3"/>
  <c r="K62" i="3"/>
  <c r="J83" i="3"/>
  <c r="N82" i="3"/>
  <c r="M82" i="3"/>
  <c r="L82" i="3"/>
  <c r="K82" i="3"/>
  <c r="K63" i="3"/>
  <c r="O83" i="3"/>
  <c r="N83" i="3"/>
  <c r="M83" i="3"/>
  <c r="L83" i="3"/>
  <c r="K83" i="3"/>
  <c r="O63" i="3"/>
  <c r="J63" i="3"/>
  <c r="O62" i="3"/>
  <c r="M62" i="3"/>
  <c r="L62" i="3"/>
  <c r="J40" i="3"/>
  <c r="J39" i="3"/>
  <c r="N63" i="3"/>
  <c r="M63" i="3"/>
  <c r="L63" i="3"/>
  <c r="O39" i="3"/>
  <c r="N39" i="3"/>
  <c r="M39" i="3"/>
  <c r="L39" i="3"/>
  <c r="K39" i="3"/>
  <c r="O40" i="3"/>
  <c r="J15" i="3"/>
  <c r="N40" i="3"/>
  <c r="M40" i="3"/>
  <c r="K40" i="3"/>
  <c r="O15" i="3"/>
  <c r="N15" i="3"/>
  <c r="M15" i="3"/>
  <c r="L15" i="3"/>
  <c r="K15" i="3"/>
  <c r="C10" i="6"/>
  <c r="I58" i="3" s="1"/>
  <c r="C9" i="6"/>
  <c r="H60" i="3" s="1"/>
  <c r="C8" i="6"/>
  <c r="C6" i="6"/>
  <c r="C5" i="6"/>
  <c r="N89" i="4"/>
  <c r="M89" i="4"/>
  <c r="L89" i="4"/>
  <c r="K89" i="4"/>
  <c r="N90" i="4"/>
  <c r="M90" i="4"/>
  <c r="L90" i="4"/>
  <c r="K90" i="4"/>
  <c r="S3" i="3"/>
  <c r="T3" i="3"/>
  <c r="U3" i="3"/>
  <c r="BM5" i="5"/>
  <c r="BN5" i="5" s="1"/>
  <c r="BO5" i="5" s="1"/>
  <c r="BP5" i="5" s="1"/>
  <c r="BQ5" i="5" s="1"/>
  <c r="BR5" i="5" s="1"/>
  <c r="BS5" i="5" s="1"/>
  <c r="BT5" i="5" s="1"/>
  <c r="BU5" i="5" s="1"/>
  <c r="BV5" i="5" s="1"/>
  <c r="BW5" i="5" s="1"/>
  <c r="BX5" i="5" s="1"/>
  <c r="BY5" i="5" s="1"/>
  <c r="BZ5" i="5" s="1"/>
  <c r="CA5" i="5" s="1"/>
  <c r="CB5" i="5" s="1"/>
  <c r="CC5" i="5" s="1"/>
  <c r="CD5" i="5" s="1"/>
  <c r="CE5" i="5" s="1"/>
  <c r="U20" i="3"/>
  <c r="I3" i="3"/>
  <c r="I4" i="3"/>
  <c r="I5" i="3"/>
  <c r="I6" i="3"/>
  <c r="I7" i="3"/>
  <c r="I8" i="3"/>
  <c r="I9" i="3"/>
  <c r="I10" i="3"/>
  <c r="I11" i="3"/>
  <c r="I12" i="3"/>
  <c r="I13" i="3"/>
  <c r="I14" i="3"/>
  <c r="I16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9" i="3"/>
  <c r="I60" i="3"/>
  <c r="I61" i="3"/>
  <c r="I66" i="3"/>
  <c r="I67" i="3"/>
  <c r="I68" i="3"/>
  <c r="I69" i="3"/>
  <c r="I70" i="3"/>
  <c r="I71" i="3"/>
  <c r="I72" i="3"/>
  <c r="I73" i="3"/>
  <c r="I74" i="3"/>
  <c r="I75" i="3"/>
  <c r="I76" i="3"/>
  <c r="I77" i="3"/>
  <c r="I86" i="3"/>
  <c r="I87" i="3"/>
  <c r="I88" i="3"/>
  <c r="I89" i="3"/>
  <c r="I90" i="3"/>
  <c r="H3" i="3"/>
  <c r="H4" i="3"/>
  <c r="H5" i="3"/>
  <c r="H6" i="3"/>
  <c r="H7" i="3"/>
  <c r="H8" i="3"/>
  <c r="H9" i="3"/>
  <c r="H10" i="3"/>
  <c r="H11" i="3"/>
  <c r="H13" i="3"/>
  <c r="H14" i="3"/>
  <c r="H16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43" i="3"/>
  <c r="H44" i="3"/>
  <c r="H45" i="3"/>
  <c r="H46" i="3"/>
  <c r="H47" i="3"/>
  <c r="H48" i="3"/>
  <c r="H49" i="3"/>
  <c r="H50" i="3"/>
  <c r="H51" i="3"/>
  <c r="H52" i="3"/>
  <c r="H53" i="3"/>
  <c r="H54" i="3"/>
  <c r="H56" i="3"/>
  <c r="H58" i="3"/>
  <c r="H59" i="3"/>
  <c r="H61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6" i="3"/>
  <c r="H87" i="3"/>
  <c r="H88" i="3"/>
  <c r="H89" i="3"/>
  <c r="H90" i="3"/>
  <c r="Q89" i="3"/>
  <c r="R89" i="3"/>
  <c r="S89" i="3"/>
  <c r="T89" i="3"/>
  <c r="U89" i="3"/>
  <c r="V89" i="3"/>
  <c r="W89" i="3"/>
  <c r="X89" i="3"/>
  <c r="Y89" i="3"/>
  <c r="Z89" i="3"/>
  <c r="Q90" i="3"/>
  <c r="R90" i="3"/>
  <c r="S90" i="3"/>
  <c r="T90" i="3"/>
  <c r="U90" i="3"/>
  <c r="V90" i="3"/>
  <c r="W90" i="3"/>
  <c r="X90" i="3"/>
  <c r="Y90" i="3"/>
  <c r="Z90" i="3"/>
  <c r="Q71" i="3"/>
  <c r="S71" i="3"/>
  <c r="T71" i="3"/>
  <c r="U71" i="3"/>
  <c r="V71" i="3"/>
  <c r="W71" i="3"/>
  <c r="X71" i="3"/>
  <c r="Z71" i="3"/>
  <c r="Q72" i="3"/>
  <c r="U72" i="3"/>
  <c r="V72" i="3"/>
  <c r="W72" i="3"/>
  <c r="X72" i="3"/>
  <c r="Y72" i="3"/>
  <c r="Z72" i="3"/>
  <c r="Q73" i="3"/>
  <c r="T73" i="3"/>
  <c r="U73" i="3"/>
  <c r="V73" i="3"/>
  <c r="W73" i="3"/>
  <c r="X73" i="3"/>
  <c r="Y73" i="3"/>
  <c r="Z73" i="3"/>
  <c r="R74" i="3"/>
  <c r="T74" i="3"/>
  <c r="U74" i="3"/>
  <c r="W74" i="3"/>
  <c r="X74" i="3"/>
  <c r="Y74" i="3"/>
  <c r="Z74" i="3"/>
  <c r="R75" i="3"/>
  <c r="S75" i="3"/>
  <c r="T75" i="3"/>
  <c r="V75" i="3"/>
  <c r="W75" i="3"/>
  <c r="X75" i="3"/>
  <c r="Y75" i="3"/>
  <c r="Z75" i="3"/>
  <c r="Q76" i="3"/>
  <c r="T76" i="3"/>
  <c r="U76" i="3"/>
  <c r="V76" i="3"/>
  <c r="W76" i="3"/>
  <c r="X76" i="3"/>
  <c r="Z76" i="3"/>
  <c r="R77" i="3"/>
  <c r="S77" i="3"/>
  <c r="T77" i="3"/>
  <c r="V77" i="3"/>
  <c r="W77" i="3"/>
  <c r="X77" i="3"/>
  <c r="Y77" i="3"/>
  <c r="Z77" i="3"/>
  <c r="Q78" i="3"/>
  <c r="R78" i="3"/>
  <c r="U78" i="3"/>
  <c r="V78" i="3"/>
  <c r="W78" i="3"/>
  <c r="X78" i="3"/>
  <c r="Y78" i="3"/>
  <c r="Z78" i="3"/>
  <c r="Q79" i="3"/>
  <c r="R79" i="3"/>
  <c r="S79" i="3"/>
  <c r="T79" i="3"/>
  <c r="U79" i="3"/>
  <c r="V79" i="3"/>
  <c r="W79" i="3"/>
  <c r="X79" i="3"/>
  <c r="Y79" i="3"/>
  <c r="Z79" i="3"/>
  <c r="Q80" i="3"/>
  <c r="R80" i="3"/>
  <c r="S80" i="3"/>
  <c r="T80" i="3"/>
  <c r="U80" i="3"/>
  <c r="V80" i="3"/>
  <c r="W80" i="3"/>
  <c r="X80" i="3"/>
  <c r="Y80" i="3"/>
  <c r="Z80" i="3"/>
  <c r="Q81" i="3"/>
  <c r="R81" i="3"/>
  <c r="S81" i="3"/>
  <c r="T81" i="3"/>
  <c r="U81" i="3"/>
  <c r="V81" i="3"/>
  <c r="W81" i="3"/>
  <c r="X81" i="3"/>
  <c r="Y81" i="3"/>
  <c r="Z81" i="3"/>
  <c r="Q86" i="3"/>
  <c r="R86" i="3"/>
  <c r="S86" i="3"/>
  <c r="T86" i="3"/>
  <c r="U86" i="3"/>
  <c r="V86" i="3"/>
  <c r="W86" i="3"/>
  <c r="X86" i="3"/>
  <c r="Y86" i="3"/>
  <c r="Z86" i="3"/>
  <c r="Q87" i="3"/>
  <c r="R87" i="3"/>
  <c r="S87" i="3"/>
  <c r="T87" i="3"/>
  <c r="U87" i="3"/>
  <c r="V87" i="3"/>
  <c r="W87" i="3"/>
  <c r="X87" i="3"/>
  <c r="Y87" i="3"/>
  <c r="Z87" i="3"/>
  <c r="Q88" i="3"/>
  <c r="R88" i="3"/>
  <c r="S88" i="3"/>
  <c r="T88" i="3"/>
  <c r="U88" i="3"/>
  <c r="V88" i="3"/>
  <c r="W88" i="3"/>
  <c r="X88" i="3"/>
  <c r="Y88" i="3"/>
  <c r="Z88" i="3"/>
  <c r="T25" i="3"/>
  <c r="U25" i="3"/>
  <c r="V25" i="3"/>
  <c r="W25" i="3"/>
  <c r="X25" i="3"/>
  <c r="Y25" i="3"/>
  <c r="Z25" i="3"/>
  <c r="S26" i="3"/>
  <c r="T26" i="3"/>
  <c r="U26" i="3"/>
  <c r="V26" i="3"/>
  <c r="W26" i="3"/>
  <c r="X26" i="3"/>
  <c r="Y26" i="3"/>
  <c r="Z26" i="3"/>
  <c r="Q27" i="3"/>
  <c r="R27" i="3"/>
  <c r="T27" i="3"/>
  <c r="U27" i="3"/>
  <c r="W27" i="3"/>
  <c r="X27" i="3"/>
  <c r="Y27" i="3"/>
  <c r="Z27" i="3"/>
  <c r="S28" i="3"/>
  <c r="T28" i="3"/>
  <c r="U28" i="3"/>
  <c r="V28" i="3"/>
  <c r="W28" i="3"/>
  <c r="X28" i="3"/>
  <c r="Y28" i="3"/>
  <c r="Q29" i="3"/>
  <c r="S29" i="3"/>
  <c r="T29" i="3"/>
  <c r="U29" i="3"/>
  <c r="V29" i="3"/>
  <c r="X29" i="3"/>
  <c r="Y29" i="3"/>
  <c r="Z29" i="3"/>
  <c r="Q30" i="3"/>
  <c r="S30" i="3"/>
  <c r="T30" i="3"/>
  <c r="U30" i="3"/>
  <c r="V30" i="3"/>
  <c r="W30" i="3"/>
  <c r="X30" i="3"/>
  <c r="Z30" i="3"/>
  <c r="Q31" i="3"/>
  <c r="R31" i="3"/>
  <c r="S31" i="3"/>
  <c r="T31" i="3"/>
  <c r="U31" i="3"/>
  <c r="V31" i="3"/>
  <c r="W31" i="3"/>
  <c r="X31" i="3"/>
  <c r="Y31" i="3"/>
  <c r="Z31" i="3"/>
  <c r="Q32" i="3"/>
  <c r="T32" i="3"/>
  <c r="U32" i="3"/>
  <c r="V32" i="3"/>
  <c r="W32" i="3"/>
  <c r="X32" i="3"/>
  <c r="Y32" i="3"/>
  <c r="Q33" i="3"/>
  <c r="T33" i="3"/>
  <c r="U33" i="3"/>
  <c r="V33" i="3"/>
  <c r="W33" i="3"/>
  <c r="X33" i="3"/>
  <c r="Y33" i="3"/>
  <c r="Q34" i="3"/>
  <c r="R34" i="3"/>
  <c r="S34" i="3"/>
  <c r="T34" i="3"/>
  <c r="U34" i="3"/>
  <c r="V34" i="3"/>
  <c r="W34" i="3"/>
  <c r="X34" i="3"/>
  <c r="Y34" i="3"/>
  <c r="Z34" i="3"/>
  <c r="Q35" i="3"/>
  <c r="T35" i="3"/>
  <c r="U35" i="3"/>
  <c r="V35" i="3"/>
  <c r="X35" i="3"/>
  <c r="Y35" i="3"/>
  <c r="Z35" i="3"/>
  <c r="Q36" i="3"/>
  <c r="R36" i="3"/>
  <c r="S36" i="3"/>
  <c r="T36" i="3"/>
  <c r="U36" i="3"/>
  <c r="V36" i="3"/>
  <c r="W36" i="3"/>
  <c r="X36" i="3"/>
  <c r="Y36" i="3"/>
  <c r="Z36" i="3"/>
  <c r="Q37" i="3"/>
  <c r="R37" i="3"/>
  <c r="S37" i="3"/>
  <c r="T37" i="3"/>
  <c r="U37" i="3"/>
  <c r="V37" i="3"/>
  <c r="W37" i="3"/>
  <c r="X37" i="3"/>
  <c r="Y37" i="3"/>
  <c r="Z37" i="3"/>
  <c r="Q38" i="3"/>
  <c r="R38" i="3"/>
  <c r="S38" i="3"/>
  <c r="T38" i="3"/>
  <c r="U38" i="3"/>
  <c r="V38" i="3"/>
  <c r="W38" i="3"/>
  <c r="X38" i="3"/>
  <c r="Y38" i="3"/>
  <c r="Z38" i="3"/>
  <c r="Q43" i="3"/>
  <c r="R43" i="3"/>
  <c r="S43" i="3"/>
  <c r="T43" i="3"/>
  <c r="U43" i="3"/>
  <c r="V43" i="3"/>
  <c r="W43" i="3"/>
  <c r="X43" i="3"/>
  <c r="Y43" i="3"/>
  <c r="Z43" i="3"/>
  <c r="Q44" i="3"/>
  <c r="R44" i="3"/>
  <c r="S44" i="3"/>
  <c r="T44" i="3"/>
  <c r="U44" i="3"/>
  <c r="V44" i="3"/>
  <c r="W44" i="3"/>
  <c r="X44" i="3"/>
  <c r="Y44" i="3"/>
  <c r="Z44" i="3"/>
  <c r="Q45" i="3"/>
  <c r="R45" i="3"/>
  <c r="S45" i="3"/>
  <c r="T45" i="3"/>
  <c r="U45" i="3"/>
  <c r="V45" i="3"/>
  <c r="W45" i="3"/>
  <c r="X45" i="3"/>
  <c r="Y45" i="3"/>
  <c r="Z45" i="3"/>
  <c r="Q46" i="3"/>
  <c r="R46" i="3"/>
  <c r="S46" i="3"/>
  <c r="T46" i="3"/>
  <c r="U46" i="3"/>
  <c r="V46" i="3"/>
  <c r="W46" i="3"/>
  <c r="X46" i="3"/>
  <c r="Y46" i="3"/>
  <c r="Z46" i="3"/>
  <c r="Q47" i="3"/>
  <c r="R47" i="3"/>
  <c r="S47" i="3"/>
  <c r="T47" i="3"/>
  <c r="U47" i="3"/>
  <c r="V47" i="3"/>
  <c r="W47" i="3"/>
  <c r="X47" i="3"/>
  <c r="Y47" i="3"/>
  <c r="Z47" i="3"/>
  <c r="Q48" i="3"/>
  <c r="R48" i="3"/>
  <c r="T48" i="3"/>
  <c r="U48" i="3"/>
  <c r="V48" i="3"/>
  <c r="W48" i="3"/>
  <c r="X48" i="3"/>
  <c r="Y48" i="3"/>
  <c r="S49" i="3"/>
  <c r="U49" i="3"/>
  <c r="V49" i="3"/>
  <c r="W49" i="3"/>
  <c r="X49" i="3"/>
  <c r="Y49" i="3"/>
  <c r="Z49" i="3"/>
  <c r="R50" i="3"/>
  <c r="S50" i="3"/>
  <c r="T50" i="3"/>
  <c r="V50" i="3"/>
  <c r="W50" i="3"/>
  <c r="X50" i="3"/>
  <c r="Y50" i="3"/>
  <c r="Z50" i="3"/>
  <c r="R51" i="3"/>
  <c r="T51" i="3"/>
  <c r="U51" i="3"/>
  <c r="V51" i="3"/>
  <c r="W51" i="3"/>
  <c r="X51" i="3"/>
  <c r="Y51" i="3"/>
  <c r="Z51" i="3"/>
  <c r="S52" i="3"/>
  <c r="T52" i="3"/>
  <c r="U52" i="3"/>
  <c r="V52" i="3"/>
  <c r="W52" i="3"/>
  <c r="X52" i="3"/>
  <c r="Y52" i="3"/>
  <c r="Z52" i="3"/>
  <c r="Q53" i="3"/>
  <c r="T53" i="3"/>
  <c r="U53" i="3"/>
  <c r="V53" i="3"/>
  <c r="W53" i="3"/>
  <c r="X53" i="3"/>
  <c r="Y53" i="3"/>
  <c r="Z53" i="3"/>
  <c r="R54" i="3"/>
  <c r="S54" i="3"/>
  <c r="T54" i="3"/>
  <c r="U54" i="3"/>
  <c r="W54" i="3"/>
  <c r="X54" i="3"/>
  <c r="Y54" i="3"/>
  <c r="Z54" i="3"/>
  <c r="S55" i="3"/>
  <c r="T55" i="3"/>
  <c r="U55" i="3"/>
  <c r="V55" i="3"/>
  <c r="W55" i="3"/>
  <c r="X55" i="3"/>
  <c r="Y55" i="3"/>
  <c r="Z55" i="3"/>
  <c r="S56" i="3"/>
  <c r="T56" i="3"/>
  <c r="U56" i="3"/>
  <c r="V56" i="3"/>
  <c r="W56" i="3"/>
  <c r="X56" i="3"/>
  <c r="Y56" i="3"/>
  <c r="Z56" i="3"/>
  <c r="S57" i="3"/>
  <c r="T57" i="3"/>
  <c r="U57" i="3"/>
  <c r="V57" i="3"/>
  <c r="W57" i="3"/>
  <c r="X57" i="3"/>
  <c r="Y57" i="3"/>
  <c r="Z57" i="3"/>
  <c r="Q58" i="3"/>
  <c r="R58" i="3"/>
  <c r="S58" i="3"/>
  <c r="T58" i="3"/>
  <c r="U58" i="3"/>
  <c r="V58" i="3"/>
  <c r="W58" i="3"/>
  <c r="X58" i="3"/>
  <c r="Y58" i="3"/>
  <c r="Z58" i="3"/>
  <c r="Q59" i="3"/>
  <c r="R59" i="3"/>
  <c r="S59" i="3"/>
  <c r="T59" i="3"/>
  <c r="U59" i="3"/>
  <c r="V59" i="3"/>
  <c r="W59" i="3"/>
  <c r="X59" i="3"/>
  <c r="Y59" i="3"/>
  <c r="Z59" i="3"/>
  <c r="Q60" i="3"/>
  <c r="R60" i="3"/>
  <c r="S60" i="3"/>
  <c r="T60" i="3"/>
  <c r="U60" i="3"/>
  <c r="V60" i="3"/>
  <c r="W60" i="3"/>
  <c r="X60" i="3"/>
  <c r="Y60" i="3"/>
  <c r="Z60" i="3"/>
  <c r="Q61" i="3"/>
  <c r="R61" i="3"/>
  <c r="S61" i="3"/>
  <c r="T61" i="3"/>
  <c r="U61" i="3"/>
  <c r="V61" i="3"/>
  <c r="W61" i="3"/>
  <c r="X61" i="3"/>
  <c r="Y61" i="3"/>
  <c r="Z61" i="3"/>
  <c r="Q66" i="3"/>
  <c r="R66" i="3"/>
  <c r="S66" i="3"/>
  <c r="T66" i="3"/>
  <c r="U66" i="3"/>
  <c r="V66" i="3"/>
  <c r="W66" i="3"/>
  <c r="X66" i="3"/>
  <c r="Y66" i="3"/>
  <c r="Z66" i="3"/>
  <c r="Q67" i="3"/>
  <c r="R67" i="3"/>
  <c r="S67" i="3"/>
  <c r="T67" i="3"/>
  <c r="U67" i="3"/>
  <c r="V67" i="3"/>
  <c r="W67" i="3"/>
  <c r="X67" i="3"/>
  <c r="Y67" i="3"/>
  <c r="Z67" i="3"/>
  <c r="Q68" i="3"/>
  <c r="R68" i="3"/>
  <c r="S68" i="3"/>
  <c r="T68" i="3"/>
  <c r="U68" i="3"/>
  <c r="V68" i="3"/>
  <c r="W68" i="3"/>
  <c r="X68" i="3"/>
  <c r="Y68" i="3"/>
  <c r="Z68" i="3"/>
  <c r="Q69" i="3"/>
  <c r="R69" i="3"/>
  <c r="S69" i="3"/>
  <c r="T69" i="3"/>
  <c r="U69" i="3"/>
  <c r="V69" i="3"/>
  <c r="W69" i="3"/>
  <c r="X69" i="3"/>
  <c r="Y69" i="3"/>
  <c r="Z69" i="3"/>
  <c r="S70" i="3"/>
  <c r="T70" i="3"/>
  <c r="U70" i="3"/>
  <c r="V70" i="3"/>
  <c r="X70" i="3"/>
  <c r="Y70" i="3"/>
  <c r="Z70" i="3"/>
  <c r="Q13" i="3"/>
  <c r="R13" i="3"/>
  <c r="S13" i="3"/>
  <c r="T13" i="3"/>
  <c r="U13" i="3"/>
  <c r="V13" i="3"/>
  <c r="W13" i="3"/>
  <c r="X13" i="3"/>
  <c r="Y13" i="3"/>
  <c r="Z13" i="3"/>
  <c r="Q14" i="3"/>
  <c r="R14" i="3"/>
  <c r="S14" i="3"/>
  <c r="T14" i="3"/>
  <c r="U14" i="3"/>
  <c r="V14" i="3"/>
  <c r="W14" i="3"/>
  <c r="X14" i="3"/>
  <c r="Y14" i="3"/>
  <c r="Z14" i="3"/>
  <c r="Q16" i="3"/>
  <c r="R16" i="3"/>
  <c r="S16" i="3"/>
  <c r="T16" i="3"/>
  <c r="U16" i="3"/>
  <c r="V16" i="3"/>
  <c r="W16" i="3"/>
  <c r="X16" i="3"/>
  <c r="Y16" i="3"/>
  <c r="Z16" i="3"/>
  <c r="Q19" i="3"/>
  <c r="R19" i="3"/>
  <c r="S19" i="3"/>
  <c r="T19" i="3"/>
  <c r="U19" i="3"/>
  <c r="V19" i="3"/>
  <c r="W19" i="3"/>
  <c r="X19" i="3"/>
  <c r="Y19" i="3"/>
  <c r="Z19" i="3"/>
  <c r="Q20" i="3"/>
  <c r="R20" i="3"/>
  <c r="S20" i="3"/>
  <c r="T20" i="3"/>
  <c r="V20" i="3"/>
  <c r="W20" i="3"/>
  <c r="X20" i="3"/>
  <c r="Y20" i="3"/>
  <c r="Z20" i="3"/>
  <c r="Q21" i="3"/>
  <c r="R21" i="3"/>
  <c r="S21" i="3"/>
  <c r="T21" i="3"/>
  <c r="U21" i="3"/>
  <c r="V21" i="3"/>
  <c r="W21" i="3"/>
  <c r="X21" i="3"/>
  <c r="Y21" i="3"/>
  <c r="Z21" i="3"/>
  <c r="Q22" i="3"/>
  <c r="R22" i="3"/>
  <c r="S22" i="3"/>
  <c r="T22" i="3"/>
  <c r="U22" i="3"/>
  <c r="V22" i="3"/>
  <c r="W22" i="3"/>
  <c r="X22" i="3"/>
  <c r="Y22" i="3"/>
  <c r="Z22" i="3"/>
  <c r="Q23" i="3"/>
  <c r="R23" i="3"/>
  <c r="S23" i="3"/>
  <c r="T23" i="3"/>
  <c r="U23" i="3"/>
  <c r="V23" i="3"/>
  <c r="W23" i="3"/>
  <c r="X23" i="3"/>
  <c r="Y23" i="3"/>
  <c r="Z23" i="3"/>
  <c r="Q24" i="3"/>
  <c r="R24" i="3"/>
  <c r="S24" i="3"/>
  <c r="T24" i="3"/>
  <c r="U24" i="3"/>
  <c r="V24" i="3"/>
  <c r="W24" i="3"/>
  <c r="X24" i="3"/>
  <c r="Y24" i="3"/>
  <c r="Z24" i="3"/>
  <c r="Q4" i="3"/>
  <c r="T4" i="3"/>
  <c r="U4" i="3"/>
  <c r="V4" i="3"/>
  <c r="W4" i="3"/>
  <c r="Y4" i="3"/>
  <c r="Z4" i="3"/>
  <c r="R5" i="3"/>
  <c r="S5" i="3"/>
  <c r="T5" i="3"/>
  <c r="U5" i="3"/>
  <c r="W5" i="3"/>
  <c r="X5" i="3"/>
  <c r="Y5" i="3"/>
  <c r="Z5" i="3"/>
  <c r="R6" i="3"/>
  <c r="S6" i="3"/>
  <c r="T6" i="3"/>
  <c r="V6" i="3"/>
  <c r="W6" i="3"/>
  <c r="X6" i="3"/>
  <c r="Y6" i="3"/>
  <c r="Z6" i="3"/>
  <c r="R7" i="3"/>
  <c r="T7" i="3"/>
  <c r="U7" i="3"/>
  <c r="V7" i="3"/>
  <c r="W7" i="3"/>
  <c r="Y7" i="3"/>
  <c r="Z7" i="3"/>
  <c r="R8" i="3"/>
  <c r="T8" i="3"/>
  <c r="U8" i="3"/>
  <c r="V8" i="3"/>
  <c r="W8" i="3"/>
  <c r="Y8" i="3"/>
  <c r="Z8" i="3"/>
  <c r="Q9" i="3"/>
  <c r="S9" i="3"/>
  <c r="T9" i="3"/>
  <c r="U9" i="3"/>
  <c r="V9" i="3"/>
  <c r="X9" i="3"/>
  <c r="Y9" i="3"/>
  <c r="Z9" i="3"/>
  <c r="Q10" i="3"/>
  <c r="R10" i="3"/>
  <c r="S10" i="3"/>
  <c r="T10" i="3"/>
  <c r="U10" i="3"/>
  <c r="V10" i="3"/>
  <c r="W10" i="3"/>
  <c r="X10" i="3"/>
  <c r="Y10" i="3"/>
  <c r="Z10" i="3"/>
  <c r="Q11" i="3"/>
  <c r="R11" i="3"/>
  <c r="S11" i="3"/>
  <c r="T11" i="3"/>
  <c r="U11" i="3"/>
  <c r="V11" i="3"/>
  <c r="W11" i="3"/>
  <c r="X11" i="3"/>
  <c r="Y11" i="3"/>
  <c r="Z11" i="3"/>
  <c r="Q12" i="3"/>
  <c r="R12" i="3"/>
  <c r="S12" i="3"/>
  <c r="T12" i="3"/>
  <c r="U12" i="3"/>
  <c r="V12" i="3"/>
  <c r="W12" i="3"/>
  <c r="X12" i="3"/>
  <c r="Y12" i="3"/>
  <c r="Z12" i="3"/>
  <c r="V3" i="3"/>
  <c r="W3" i="3"/>
  <c r="X3" i="3"/>
  <c r="Y3" i="3"/>
  <c r="Z3" i="3"/>
  <c r="AS4" i="3"/>
  <c r="AT4" i="3"/>
  <c r="R4" i="3" s="1"/>
  <c r="AU4" i="3"/>
  <c r="S4" i="3" s="1"/>
  <c r="AV4" i="3"/>
  <c r="AW4" i="3"/>
  <c r="AX4" i="3"/>
  <c r="AY4" i="3"/>
  <c r="AZ4" i="3"/>
  <c r="X4" i="3" s="1"/>
  <c r="BA4" i="3"/>
  <c r="BB4" i="3"/>
  <c r="AS5" i="3"/>
  <c r="Q5" i="3" s="1"/>
  <c r="AT5" i="3"/>
  <c r="AU5" i="3"/>
  <c r="AV5" i="3"/>
  <c r="AW5" i="3"/>
  <c r="AX5" i="3"/>
  <c r="V5" i="3" s="1"/>
  <c r="AY5" i="3"/>
  <c r="AZ5" i="3"/>
  <c r="BA5" i="3"/>
  <c r="BB5" i="3"/>
  <c r="AS6" i="3"/>
  <c r="Q6" i="3" s="1"/>
  <c r="AT6" i="3"/>
  <c r="AU6" i="3"/>
  <c r="AV6" i="3"/>
  <c r="AW6" i="3"/>
  <c r="U6" i="3" s="1"/>
  <c r="AX6" i="3"/>
  <c r="AY6" i="3"/>
  <c r="AZ6" i="3"/>
  <c r="BA6" i="3"/>
  <c r="BB6" i="3"/>
  <c r="AS7" i="3"/>
  <c r="Q7" i="3" s="1"/>
  <c r="AT7" i="3"/>
  <c r="AU7" i="3"/>
  <c r="S7" i="3" s="1"/>
  <c r="AV7" i="3"/>
  <c r="AW7" i="3"/>
  <c r="AX7" i="3"/>
  <c r="AY7" i="3"/>
  <c r="AZ7" i="3"/>
  <c r="X7" i="3" s="1"/>
  <c r="BA7" i="3"/>
  <c r="BB7" i="3"/>
  <c r="AS8" i="3"/>
  <c r="Q8" i="3" s="1"/>
  <c r="AT8" i="3"/>
  <c r="AU8" i="3"/>
  <c r="S8" i="3" s="1"/>
  <c r="AV8" i="3"/>
  <c r="AW8" i="3"/>
  <c r="AX8" i="3"/>
  <c r="AY8" i="3"/>
  <c r="AZ8" i="3"/>
  <c r="X8" i="3" s="1"/>
  <c r="BA8" i="3"/>
  <c r="BB8" i="3"/>
  <c r="AS9" i="3"/>
  <c r="AT9" i="3"/>
  <c r="R9" i="3" s="1"/>
  <c r="AU9" i="3"/>
  <c r="AV9" i="3"/>
  <c r="AW9" i="3"/>
  <c r="AX9" i="3"/>
  <c r="AY9" i="3"/>
  <c r="W9" i="3" s="1"/>
  <c r="AZ9" i="3"/>
  <c r="BA9" i="3"/>
  <c r="BB9" i="3"/>
  <c r="AS10" i="3"/>
  <c r="AT10" i="3"/>
  <c r="AU10" i="3"/>
  <c r="AV10" i="3"/>
  <c r="AW10" i="3"/>
  <c r="AX10" i="3"/>
  <c r="AY10" i="3"/>
  <c r="AZ10" i="3"/>
  <c r="BA10" i="3"/>
  <c r="BB10" i="3"/>
  <c r="AS11" i="3"/>
  <c r="AT11" i="3"/>
  <c r="AU11" i="3"/>
  <c r="AV11" i="3"/>
  <c r="AW11" i="3"/>
  <c r="AX11" i="3"/>
  <c r="AY11" i="3"/>
  <c r="AZ11" i="3"/>
  <c r="BA11" i="3"/>
  <c r="BB11" i="3"/>
  <c r="AS12" i="3"/>
  <c r="AT12" i="3"/>
  <c r="AU12" i="3"/>
  <c r="AV12" i="3"/>
  <c r="AW12" i="3"/>
  <c r="AX12" i="3"/>
  <c r="AY12" i="3"/>
  <c r="AZ12" i="3"/>
  <c r="BA12" i="3"/>
  <c r="BB12" i="3"/>
  <c r="AS13" i="3"/>
  <c r="AT13" i="3"/>
  <c r="AU13" i="3"/>
  <c r="AV13" i="3"/>
  <c r="AW13" i="3"/>
  <c r="AX13" i="3"/>
  <c r="AY13" i="3"/>
  <c r="AZ13" i="3"/>
  <c r="BA13" i="3"/>
  <c r="BB13" i="3"/>
  <c r="AS14" i="3"/>
  <c r="AT14" i="3"/>
  <c r="AU14" i="3"/>
  <c r="AV14" i="3"/>
  <c r="AW14" i="3"/>
  <c r="AX14" i="3"/>
  <c r="AY14" i="3"/>
  <c r="AZ14" i="3"/>
  <c r="BA14" i="3"/>
  <c r="BB14" i="3"/>
  <c r="AS16" i="3"/>
  <c r="AT16" i="3"/>
  <c r="AU16" i="3"/>
  <c r="AV16" i="3"/>
  <c r="AW16" i="3"/>
  <c r="AX16" i="3"/>
  <c r="AY16" i="3"/>
  <c r="AZ16" i="3"/>
  <c r="BA16" i="3"/>
  <c r="BB16" i="3"/>
  <c r="AS21" i="3"/>
  <c r="AT21" i="3"/>
  <c r="AU21" i="3"/>
  <c r="AV21" i="3"/>
  <c r="AW21" i="3"/>
  <c r="AX21" i="3"/>
  <c r="AY21" i="3"/>
  <c r="AZ21" i="3"/>
  <c r="BA21" i="3"/>
  <c r="BB21" i="3"/>
  <c r="AS22" i="3"/>
  <c r="AT22" i="3"/>
  <c r="AU22" i="3"/>
  <c r="AV22" i="3"/>
  <c r="AW22" i="3"/>
  <c r="AX22" i="3"/>
  <c r="AY22" i="3"/>
  <c r="AZ22" i="3"/>
  <c r="BA22" i="3"/>
  <c r="BB22" i="3"/>
  <c r="AS23" i="3"/>
  <c r="AT23" i="3"/>
  <c r="AU23" i="3"/>
  <c r="AV23" i="3"/>
  <c r="AW23" i="3"/>
  <c r="AX23" i="3"/>
  <c r="AY23" i="3"/>
  <c r="AZ23" i="3"/>
  <c r="BA23" i="3"/>
  <c r="BB23" i="3"/>
  <c r="AS24" i="3"/>
  <c r="AT24" i="3"/>
  <c r="AU24" i="3"/>
  <c r="AV24" i="3"/>
  <c r="AW24" i="3"/>
  <c r="AX24" i="3"/>
  <c r="AY24" i="3"/>
  <c r="AZ24" i="3"/>
  <c r="BA24" i="3"/>
  <c r="BB24" i="3"/>
  <c r="AS25" i="3"/>
  <c r="Q25" i="3" s="1"/>
  <c r="AT25" i="3"/>
  <c r="R25" i="3" s="1"/>
  <c r="AU25" i="3"/>
  <c r="S25" i="3" s="1"/>
  <c r="AV25" i="3"/>
  <c r="AW25" i="3"/>
  <c r="AX25" i="3"/>
  <c r="AY25" i="3"/>
  <c r="AZ25" i="3"/>
  <c r="BA25" i="3"/>
  <c r="BB25" i="3"/>
  <c r="AS26" i="3"/>
  <c r="Q26" i="3" s="1"/>
  <c r="AT26" i="3"/>
  <c r="R26" i="3" s="1"/>
  <c r="AU26" i="3"/>
  <c r="AV26" i="3"/>
  <c r="AW26" i="3"/>
  <c r="AX26" i="3"/>
  <c r="AY26" i="3"/>
  <c r="AZ26" i="3"/>
  <c r="BA26" i="3"/>
  <c r="BB26" i="3"/>
  <c r="AS27" i="3"/>
  <c r="AT27" i="3"/>
  <c r="AU27" i="3"/>
  <c r="S27" i="3" s="1"/>
  <c r="AV27" i="3"/>
  <c r="AW27" i="3"/>
  <c r="AX27" i="3"/>
  <c r="V27" i="3" s="1"/>
  <c r="AY27" i="3"/>
  <c r="AZ27" i="3"/>
  <c r="BA27" i="3"/>
  <c r="BB27" i="3"/>
  <c r="AS28" i="3"/>
  <c r="Q28" i="3" s="1"/>
  <c r="AT28" i="3"/>
  <c r="R28" i="3" s="1"/>
  <c r="AU28" i="3"/>
  <c r="AV28" i="3"/>
  <c r="AW28" i="3"/>
  <c r="AX28" i="3"/>
  <c r="AY28" i="3"/>
  <c r="AZ28" i="3"/>
  <c r="BA28" i="3"/>
  <c r="BB28" i="3"/>
  <c r="Z28" i="3" s="1"/>
  <c r="AS29" i="3"/>
  <c r="AT29" i="3"/>
  <c r="R29" i="3" s="1"/>
  <c r="AU29" i="3"/>
  <c r="AV29" i="3"/>
  <c r="AW29" i="3"/>
  <c r="AX29" i="3"/>
  <c r="AY29" i="3"/>
  <c r="W29" i="3" s="1"/>
  <c r="AZ29" i="3"/>
  <c r="BA29" i="3"/>
  <c r="BB29" i="3"/>
  <c r="AS30" i="3"/>
  <c r="AT30" i="3"/>
  <c r="R30" i="3" s="1"/>
  <c r="AU30" i="3"/>
  <c r="AV30" i="3"/>
  <c r="AW30" i="3"/>
  <c r="AX30" i="3"/>
  <c r="AY30" i="3"/>
  <c r="AZ30" i="3"/>
  <c r="BA30" i="3"/>
  <c r="Y30" i="3" s="1"/>
  <c r="BB30" i="3"/>
  <c r="AS31" i="3"/>
  <c r="AT31" i="3"/>
  <c r="AU31" i="3"/>
  <c r="AV31" i="3"/>
  <c r="AW31" i="3"/>
  <c r="AX31" i="3"/>
  <c r="AY31" i="3"/>
  <c r="AZ31" i="3"/>
  <c r="BA31" i="3"/>
  <c r="BB31" i="3"/>
  <c r="AS32" i="3"/>
  <c r="AT32" i="3"/>
  <c r="R32" i="3" s="1"/>
  <c r="AU32" i="3"/>
  <c r="S32" i="3" s="1"/>
  <c r="AV32" i="3"/>
  <c r="AW32" i="3"/>
  <c r="AX32" i="3"/>
  <c r="AY32" i="3"/>
  <c r="AZ32" i="3"/>
  <c r="BA32" i="3"/>
  <c r="BB32" i="3"/>
  <c r="Z32" i="3" s="1"/>
  <c r="AS33" i="3"/>
  <c r="AT33" i="3"/>
  <c r="R33" i="3" s="1"/>
  <c r="AU33" i="3"/>
  <c r="S33" i="3" s="1"/>
  <c r="AV33" i="3"/>
  <c r="AW33" i="3"/>
  <c r="AX33" i="3"/>
  <c r="AY33" i="3"/>
  <c r="AZ33" i="3"/>
  <c r="BA33" i="3"/>
  <c r="BB33" i="3"/>
  <c r="Z33" i="3" s="1"/>
  <c r="AS34" i="3"/>
  <c r="AT34" i="3"/>
  <c r="AU34" i="3"/>
  <c r="AV34" i="3"/>
  <c r="AW34" i="3"/>
  <c r="AX34" i="3"/>
  <c r="AY34" i="3"/>
  <c r="AZ34" i="3"/>
  <c r="BA34" i="3"/>
  <c r="BB34" i="3"/>
  <c r="AS35" i="3"/>
  <c r="AT35" i="3"/>
  <c r="R35" i="3" s="1"/>
  <c r="AU35" i="3"/>
  <c r="S35" i="3" s="1"/>
  <c r="AV35" i="3"/>
  <c r="AW35" i="3"/>
  <c r="AX35" i="3"/>
  <c r="AY35" i="3"/>
  <c r="W35" i="3" s="1"/>
  <c r="AZ35" i="3"/>
  <c r="BA35" i="3"/>
  <c r="BB35" i="3"/>
  <c r="AS36" i="3"/>
  <c r="AT36" i="3"/>
  <c r="AU36" i="3"/>
  <c r="AV36" i="3"/>
  <c r="AW36" i="3"/>
  <c r="AX36" i="3"/>
  <c r="AY36" i="3"/>
  <c r="AZ36" i="3"/>
  <c r="BA36" i="3"/>
  <c r="BB36" i="3"/>
  <c r="AS37" i="3"/>
  <c r="AT37" i="3"/>
  <c r="AU37" i="3"/>
  <c r="AV37" i="3"/>
  <c r="AW37" i="3"/>
  <c r="AX37" i="3"/>
  <c r="AY37" i="3"/>
  <c r="AZ37" i="3"/>
  <c r="BA37" i="3"/>
  <c r="BB37" i="3"/>
  <c r="AS38" i="3"/>
  <c r="AT38" i="3"/>
  <c r="AU38" i="3"/>
  <c r="AV38" i="3"/>
  <c r="AW38" i="3"/>
  <c r="AX38" i="3"/>
  <c r="AY38" i="3"/>
  <c r="AZ38" i="3"/>
  <c r="BA38" i="3"/>
  <c r="BB38" i="3"/>
  <c r="AS45" i="3"/>
  <c r="AT45" i="3"/>
  <c r="AU45" i="3"/>
  <c r="AV45" i="3"/>
  <c r="AW45" i="3"/>
  <c r="AX45" i="3"/>
  <c r="AY45" i="3"/>
  <c r="AZ45" i="3"/>
  <c r="BA45" i="3"/>
  <c r="BB45" i="3"/>
  <c r="AS46" i="3"/>
  <c r="AT46" i="3"/>
  <c r="AU46" i="3"/>
  <c r="AV46" i="3"/>
  <c r="AW46" i="3"/>
  <c r="AX46" i="3"/>
  <c r="AY46" i="3"/>
  <c r="AZ46" i="3"/>
  <c r="BA46" i="3"/>
  <c r="BB46" i="3"/>
  <c r="AS47" i="3"/>
  <c r="AT47" i="3"/>
  <c r="AU47" i="3"/>
  <c r="AV47" i="3"/>
  <c r="AW47" i="3"/>
  <c r="AX47" i="3"/>
  <c r="AY47" i="3"/>
  <c r="AZ47" i="3"/>
  <c r="BA47" i="3"/>
  <c r="BB47" i="3"/>
  <c r="AS48" i="3"/>
  <c r="AT48" i="3"/>
  <c r="AU48" i="3"/>
  <c r="S48" i="3" s="1"/>
  <c r="AV48" i="3"/>
  <c r="AW48" i="3"/>
  <c r="AX48" i="3"/>
  <c r="AY48" i="3"/>
  <c r="AZ48" i="3"/>
  <c r="BA48" i="3"/>
  <c r="BB48" i="3"/>
  <c r="Z48" i="3" s="1"/>
  <c r="AS49" i="3"/>
  <c r="Q49" i="3" s="1"/>
  <c r="AT49" i="3"/>
  <c r="R49" i="3" s="1"/>
  <c r="AU49" i="3"/>
  <c r="AV49" i="3"/>
  <c r="T49" i="3" s="1"/>
  <c r="AW49" i="3"/>
  <c r="AX49" i="3"/>
  <c r="AY49" i="3"/>
  <c r="AZ49" i="3"/>
  <c r="BA49" i="3"/>
  <c r="BB49" i="3"/>
  <c r="AS50" i="3"/>
  <c r="Q50" i="3" s="1"/>
  <c r="AT50" i="3"/>
  <c r="AU50" i="3"/>
  <c r="AV50" i="3"/>
  <c r="AW50" i="3"/>
  <c r="U50" i="3" s="1"/>
  <c r="AX50" i="3"/>
  <c r="AY50" i="3"/>
  <c r="AZ50" i="3"/>
  <c r="BA50" i="3"/>
  <c r="BB50" i="3"/>
  <c r="AS51" i="3"/>
  <c r="Q51" i="3" s="1"/>
  <c r="AT51" i="3"/>
  <c r="AU51" i="3"/>
  <c r="S51" i="3" s="1"/>
  <c r="AV51" i="3"/>
  <c r="AW51" i="3"/>
  <c r="AX51" i="3"/>
  <c r="AY51" i="3"/>
  <c r="AZ51" i="3"/>
  <c r="BA51" i="3"/>
  <c r="BB51" i="3"/>
  <c r="AS52" i="3"/>
  <c r="Q52" i="3" s="1"/>
  <c r="AT52" i="3"/>
  <c r="R52" i="3" s="1"/>
  <c r="AU52" i="3"/>
  <c r="AV52" i="3"/>
  <c r="AW52" i="3"/>
  <c r="AX52" i="3"/>
  <c r="AY52" i="3"/>
  <c r="AZ52" i="3"/>
  <c r="BA52" i="3"/>
  <c r="BB52" i="3"/>
  <c r="AS53" i="3"/>
  <c r="AT53" i="3"/>
  <c r="R53" i="3" s="1"/>
  <c r="AU53" i="3"/>
  <c r="S53" i="3" s="1"/>
  <c r="AV53" i="3"/>
  <c r="AW53" i="3"/>
  <c r="AX53" i="3"/>
  <c r="AY53" i="3"/>
  <c r="AZ53" i="3"/>
  <c r="BA53" i="3"/>
  <c r="BB53" i="3"/>
  <c r="AS54" i="3"/>
  <c r="Q54" i="3" s="1"/>
  <c r="AT54" i="3"/>
  <c r="AU54" i="3"/>
  <c r="AV54" i="3"/>
  <c r="AW54" i="3"/>
  <c r="AX54" i="3"/>
  <c r="V54" i="3" s="1"/>
  <c r="AY54" i="3"/>
  <c r="AZ54" i="3"/>
  <c r="BA54" i="3"/>
  <c r="BB54" i="3"/>
  <c r="AS55" i="3"/>
  <c r="Q55" i="3" s="1"/>
  <c r="AT55" i="3"/>
  <c r="R55" i="3" s="1"/>
  <c r="AU55" i="3"/>
  <c r="AV55" i="3"/>
  <c r="AW55" i="3"/>
  <c r="AX55" i="3"/>
  <c r="AY55" i="3"/>
  <c r="AZ55" i="3"/>
  <c r="BA55" i="3"/>
  <c r="BB55" i="3"/>
  <c r="AS56" i="3"/>
  <c r="Q56" i="3" s="1"/>
  <c r="AT56" i="3"/>
  <c r="R56" i="3" s="1"/>
  <c r="AU56" i="3"/>
  <c r="AV56" i="3"/>
  <c r="AW56" i="3"/>
  <c r="AX56" i="3"/>
  <c r="AY56" i="3"/>
  <c r="AZ56" i="3"/>
  <c r="BA56" i="3"/>
  <c r="BB56" i="3"/>
  <c r="AS57" i="3"/>
  <c r="Q57" i="3" s="1"/>
  <c r="AT57" i="3"/>
  <c r="R57" i="3" s="1"/>
  <c r="AU57" i="3"/>
  <c r="AV57" i="3"/>
  <c r="AW57" i="3"/>
  <c r="AX57" i="3"/>
  <c r="AY57" i="3"/>
  <c r="AZ57" i="3"/>
  <c r="BA57" i="3"/>
  <c r="BB57" i="3"/>
  <c r="AS58" i="3"/>
  <c r="AT58" i="3"/>
  <c r="AU58" i="3"/>
  <c r="AV58" i="3"/>
  <c r="AW58" i="3"/>
  <c r="AX58" i="3"/>
  <c r="AY58" i="3"/>
  <c r="AZ58" i="3"/>
  <c r="BA58" i="3"/>
  <c r="BB58" i="3"/>
  <c r="AS59" i="3"/>
  <c r="AT59" i="3"/>
  <c r="AU59" i="3"/>
  <c r="AV59" i="3"/>
  <c r="AW59" i="3"/>
  <c r="AX59" i="3"/>
  <c r="AY59" i="3"/>
  <c r="AZ59" i="3"/>
  <c r="BA59" i="3"/>
  <c r="BB59" i="3"/>
  <c r="AS60" i="3"/>
  <c r="AT60" i="3"/>
  <c r="AU60" i="3"/>
  <c r="AV60" i="3"/>
  <c r="AW60" i="3"/>
  <c r="AX60" i="3"/>
  <c r="AY60" i="3"/>
  <c r="AZ60" i="3"/>
  <c r="BA60" i="3"/>
  <c r="BB60" i="3"/>
  <c r="AS61" i="3"/>
  <c r="AT61" i="3"/>
  <c r="AU61" i="3"/>
  <c r="AV61" i="3"/>
  <c r="AW61" i="3"/>
  <c r="AX61" i="3"/>
  <c r="AY61" i="3"/>
  <c r="AZ61" i="3"/>
  <c r="BA61" i="3"/>
  <c r="BB61" i="3"/>
  <c r="AS70" i="3"/>
  <c r="Q70" i="3" s="1"/>
  <c r="AT70" i="3"/>
  <c r="R70" i="3" s="1"/>
  <c r="AU70" i="3"/>
  <c r="AV70" i="3"/>
  <c r="AW70" i="3"/>
  <c r="AX70" i="3"/>
  <c r="AY70" i="3"/>
  <c r="W70" i="3" s="1"/>
  <c r="AZ70" i="3"/>
  <c r="BA70" i="3"/>
  <c r="BB70" i="3"/>
  <c r="AS71" i="3"/>
  <c r="AT71" i="3"/>
  <c r="R71" i="3" s="1"/>
  <c r="AU71" i="3"/>
  <c r="AV71" i="3"/>
  <c r="AW71" i="3"/>
  <c r="AX71" i="3"/>
  <c r="AY71" i="3"/>
  <c r="AZ71" i="3"/>
  <c r="BA71" i="3"/>
  <c r="Y71" i="3" s="1"/>
  <c r="BB71" i="3"/>
  <c r="AS72" i="3"/>
  <c r="AT72" i="3"/>
  <c r="R72" i="3" s="1"/>
  <c r="AU72" i="3"/>
  <c r="S72" i="3" s="1"/>
  <c r="AV72" i="3"/>
  <c r="T72" i="3" s="1"/>
  <c r="AW72" i="3"/>
  <c r="AX72" i="3"/>
  <c r="AY72" i="3"/>
  <c r="AZ72" i="3"/>
  <c r="BA72" i="3"/>
  <c r="BB72" i="3"/>
  <c r="AS73" i="3"/>
  <c r="AT73" i="3"/>
  <c r="R73" i="3" s="1"/>
  <c r="AU73" i="3"/>
  <c r="S73" i="3" s="1"/>
  <c r="AV73" i="3"/>
  <c r="AW73" i="3"/>
  <c r="AX73" i="3"/>
  <c r="AY73" i="3"/>
  <c r="AZ73" i="3"/>
  <c r="BA73" i="3"/>
  <c r="BB73" i="3"/>
  <c r="AS74" i="3"/>
  <c r="Q74" i="3" s="1"/>
  <c r="AT74" i="3"/>
  <c r="AU74" i="3"/>
  <c r="S74" i="3" s="1"/>
  <c r="AV74" i="3"/>
  <c r="AW74" i="3"/>
  <c r="AX74" i="3"/>
  <c r="V74" i="3" s="1"/>
  <c r="AY74" i="3"/>
  <c r="AZ74" i="3"/>
  <c r="BA74" i="3"/>
  <c r="BB74" i="3"/>
  <c r="AS75" i="3"/>
  <c r="Q75" i="3" s="1"/>
  <c r="AT75" i="3"/>
  <c r="AU75" i="3"/>
  <c r="AV75" i="3"/>
  <c r="AW75" i="3"/>
  <c r="U75" i="3" s="1"/>
  <c r="AX75" i="3"/>
  <c r="AY75" i="3"/>
  <c r="AZ75" i="3"/>
  <c r="BA75" i="3"/>
  <c r="BB75" i="3"/>
  <c r="AS76" i="3"/>
  <c r="AT76" i="3"/>
  <c r="R76" i="3" s="1"/>
  <c r="AU76" i="3"/>
  <c r="S76" i="3" s="1"/>
  <c r="AV76" i="3"/>
  <c r="AW76" i="3"/>
  <c r="AX76" i="3"/>
  <c r="AY76" i="3"/>
  <c r="AZ76" i="3"/>
  <c r="BA76" i="3"/>
  <c r="Y76" i="3" s="1"/>
  <c r="BB76" i="3"/>
  <c r="AS77" i="3"/>
  <c r="Q77" i="3" s="1"/>
  <c r="AT77" i="3"/>
  <c r="AU77" i="3"/>
  <c r="AV77" i="3"/>
  <c r="AW77" i="3"/>
  <c r="U77" i="3" s="1"/>
  <c r="AX77" i="3"/>
  <c r="AY77" i="3"/>
  <c r="AZ77" i="3"/>
  <c r="BA77" i="3"/>
  <c r="BB77" i="3"/>
  <c r="AS78" i="3"/>
  <c r="AT78" i="3"/>
  <c r="AU78" i="3"/>
  <c r="S78" i="3" s="1"/>
  <c r="AV78" i="3"/>
  <c r="T78" i="3" s="1"/>
  <c r="AW78" i="3"/>
  <c r="AX78" i="3"/>
  <c r="AY78" i="3"/>
  <c r="AZ78" i="3"/>
  <c r="BA78" i="3"/>
  <c r="BB78" i="3"/>
  <c r="AS79" i="3"/>
  <c r="AT79" i="3"/>
  <c r="AU79" i="3"/>
  <c r="AV79" i="3"/>
  <c r="AW79" i="3"/>
  <c r="AX79" i="3"/>
  <c r="AY79" i="3"/>
  <c r="AZ79" i="3"/>
  <c r="BA79" i="3"/>
  <c r="BB79" i="3"/>
  <c r="AS80" i="3"/>
  <c r="AT80" i="3"/>
  <c r="AU80" i="3"/>
  <c r="AV80" i="3"/>
  <c r="AW80" i="3"/>
  <c r="AX80" i="3"/>
  <c r="AY80" i="3"/>
  <c r="AZ80" i="3"/>
  <c r="BA80" i="3"/>
  <c r="BB80" i="3"/>
  <c r="AS81" i="3"/>
  <c r="AT81" i="3"/>
  <c r="AU81" i="3"/>
  <c r="AV81" i="3"/>
  <c r="AW81" i="3"/>
  <c r="AX81" i="3"/>
  <c r="AY81" i="3"/>
  <c r="AZ81" i="3"/>
  <c r="BA81" i="3"/>
  <c r="BB81" i="3"/>
  <c r="AS88" i="3"/>
  <c r="AT88" i="3"/>
  <c r="AU88" i="3"/>
  <c r="AV88" i="3"/>
  <c r="AW88" i="3"/>
  <c r="AX88" i="3"/>
  <c r="AY88" i="3"/>
  <c r="AZ88" i="3"/>
  <c r="BA88" i="3"/>
  <c r="BB88" i="3"/>
  <c r="BB3" i="3"/>
  <c r="BA3" i="3"/>
  <c r="AZ3" i="3"/>
  <c r="AY3" i="3"/>
  <c r="AX3" i="3"/>
  <c r="AW3" i="3"/>
  <c r="AV3" i="3"/>
  <c r="AU3" i="3"/>
  <c r="AT3" i="3"/>
  <c r="R3" i="3" s="1"/>
  <c r="AS3" i="3"/>
  <c r="Q3" i="3" s="1"/>
  <c r="F43" i="5"/>
  <c r="F30" i="5"/>
  <c r="F75" i="5"/>
  <c r="F45" i="5"/>
  <c r="F24" i="5"/>
  <c r="F25" i="5"/>
  <c r="F18" i="5"/>
  <c r="F39" i="5"/>
  <c r="F64" i="5"/>
  <c r="F54" i="5"/>
  <c r="F48" i="5"/>
  <c r="F21" i="5"/>
  <c r="F29" i="5"/>
  <c r="F17" i="5"/>
  <c r="F31" i="5"/>
  <c r="F32" i="5"/>
  <c r="F62" i="5"/>
  <c r="F13" i="5"/>
  <c r="F66" i="5"/>
  <c r="F58" i="5"/>
  <c r="F19" i="5"/>
  <c r="F72" i="5"/>
  <c r="F12" i="5"/>
  <c r="F44" i="5"/>
  <c r="F73" i="5"/>
  <c r="F76" i="5"/>
  <c r="F26" i="5"/>
  <c r="F52" i="5"/>
  <c r="F68" i="5"/>
  <c r="F70" i="5"/>
  <c r="F36" i="5"/>
  <c r="F77" i="5"/>
  <c r="F10" i="5"/>
  <c r="F40" i="5"/>
  <c r="F46" i="5"/>
  <c r="F33" i="5"/>
  <c r="F63" i="5"/>
  <c r="F27" i="5"/>
  <c r="F74" i="5"/>
  <c r="F34" i="5"/>
  <c r="F20" i="5"/>
  <c r="F15" i="5"/>
  <c r="F57" i="5"/>
  <c r="F50" i="5"/>
  <c r="F11" i="5"/>
  <c r="F61" i="5"/>
  <c r="F47" i="5"/>
  <c r="F14" i="5"/>
  <c r="F69" i="5"/>
  <c r="F38" i="5"/>
  <c r="F41" i="5"/>
  <c r="F60" i="5"/>
  <c r="F9" i="5"/>
  <c r="F55" i="5"/>
  <c r="F53" i="5"/>
  <c r="F23" i="5"/>
  <c r="F56" i="5"/>
  <c r="F28" i="5"/>
  <c r="F22" i="5"/>
  <c r="F65" i="5"/>
  <c r="F67" i="5"/>
  <c r="F49" i="5"/>
  <c r="F35" i="5"/>
  <c r="F37" i="5"/>
  <c r="F42" i="5"/>
  <c r="F71" i="5"/>
  <c r="F51" i="5"/>
  <c r="F59" i="5"/>
  <c r="F16" i="5"/>
  <c r="G6" i="6" l="1"/>
  <c r="J49" i="3" s="1"/>
  <c r="G5" i="6"/>
  <c r="J48" i="3" s="1"/>
  <c r="U2" i="6"/>
  <c r="I38" i="3"/>
  <c r="I81" i="3"/>
  <c r="I80" i="3"/>
  <c r="I36" i="3"/>
  <c r="H57" i="3"/>
  <c r="H55" i="3"/>
  <c r="H12" i="3"/>
  <c r="I37" i="3"/>
  <c r="I79" i="3"/>
  <c r="I78" i="3"/>
  <c r="J14" i="3" l="1"/>
  <c r="J90" i="3"/>
  <c r="J81" i="3"/>
  <c r="J28" i="3"/>
  <c r="J71" i="3"/>
  <c r="J22" i="3"/>
  <c r="J24" i="3"/>
  <c r="J26" i="3"/>
  <c r="J58" i="3"/>
  <c r="J21" i="3"/>
  <c r="J34" i="3"/>
  <c r="J50" i="3"/>
  <c r="J6" i="3"/>
  <c r="J86" i="3"/>
  <c r="J29" i="3"/>
  <c r="J89" i="3"/>
  <c r="J77" i="3"/>
  <c r="J69" i="3"/>
  <c r="J13" i="3"/>
  <c r="J4" i="3"/>
  <c r="J75" i="3"/>
  <c r="J72" i="3"/>
  <c r="J45" i="3"/>
  <c r="J35" i="3"/>
  <c r="J46" i="3"/>
  <c r="J30" i="3"/>
  <c r="J7" i="3"/>
  <c r="J87" i="3"/>
  <c r="J3" i="3"/>
  <c r="J70" i="3"/>
  <c r="J19" i="3"/>
  <c r="J43" i="3"/>
  <c r="J31" i="3"/>
  <c r="J68" i="3"/>
  <c r="J44" i="3"/>
  <c r="J47" i="3"/>
  <c r="J9" i="3"/>
  <c r="J54" i="3"/>
  <c r="J66" i="3"/>
  <c r="J25" i="3"/>
  <c r="J23" i="3"/>
  <c r="J60" i="3"/>
  <c r="J10" i="3"/>
  <c r="J59" i="3"/>
  <c r="J20" i="3"/>
  <c r="J16" i="3"/>
  <c r="J27" i="3"/>
  <c r="J11" i="3"/>
  <c r="J67" i="3"/>
  <c r="J32" i="3"/>
  <c r="J74" i="3"/>
  <c r="J61" i="3"/>
  <c r="J5" i="3"/>
  <c r="J88" i="3"/>
  <c r="J56" i="3"/>
  <c r="J37" i="3"/>
  <c r="J36" i="3"/>
  <c r="J38" i="3"/>
  <c r="J79" i="3"/>
  <c r="J55" i="3"/>
  <c r="J57" i="3"/>
  <c r="J12" i="3"/>
  <c r="G7" i="6"/>
  <c r="J53" i="3" l="1"/>
  <c r="J51" i="3"/>
  <c r="J76" i="3"/>
  <c r="G8" i="6"/>
  <c r="J78" i="3" s="1"/>
  <c r="J8" i="3" l="1"/>
  <c r="J52" i="3"/>
  <c r="J80" i="3"/>
  <c r="J73" i="3"/>
  <c r="J33" i="3"/>
  <c r="Z93" i="3" l="1"/>
  <c r="Z94" i="3" s="1"/>
  <c r="T93" i="3"/>
  <c r="T94" i="3" s="1"/>
  <c r="S93" i="3"/>
  <c r="S94" i="3" s="1"/>
  <c r="Y93" i="3"/>
  <c r="Y94" i="3" s="1"/>
  <c r="V93" i="3"/>
  <c r="V94" i="3" s="1"/>
  <c r="U93" i="3"/>
  <c r="U94" i="3" s="1"/>
  <c r="Q93" i="3"/>
  <c r="Q94" i="3" s="1"/>
  <c r="R93" i="3"/>
  <c r="R94" i="3" s="1"/>
  <c r="W93" i="3"/>
  <c r="W94" i="3" s="1"/>
  <c r="X93" i="3"/>
  <c r="X94" i="3" s="1"/>
  <c r="H8" i="6" l="1"/>
  <c r="I8" i="6" s="1"/>
  <c r="K33" i="3" s="1"/>
  <c r="H5" i="6"/>
  <c r="I5" i="6" s="1"/>
  <c r="K46" i="3" s="1"/>
  <c r="H6" i="6"/>
  <c r="I6" i="6" s="1"/>
  <c r="H7" i="6"/>
  <c r="I7" i="6" s="1"/>
  <c r="K80" i="3" l="1"/>
  <c r="K73" i="3"/>
  <c r="K52" i="3"/>
  <c r="K78" i="3"/>
  <c r="K8" i="3"/>
  <c r="K59" i="3"/>
  <c r="K35" i="3"/>
  <c r="K45" i="3"/>
  <c r="K72" i="3"/>
  <c r="K22" i="3"/>
  <c r="K47" i="3"/>
  <c r="K75" i="3"/>
  <c r="K29" i="3"/>
  <c r="K89" i="3"/>
  <c r="K31" i="3"/>
  <c r="K28" i="3"/>
  <c r="K30" i="3"/>
  <c r="K36" i="3"/>
  <c r="K90" i="3"/>
  <c r="K9" i="3"/>
  <c r="K87" i="3"/>
  <c r="K69" i="3"/>
  <c r="K48" i="3"/>
  <c r="K19" i="3"/>
  <c r="K66" i="3"/>
  <c r="K43" i="3"/>
  <c r="K44" i="3"/>
  <c r="K3" i="3"/>
  <c r="K68" i="3"/>
  <c r="K70" i="3"/>
  <c r="K54" i="3"/>
  <c r="K13" i="3"/>
  <c r="K77" i="3"/>
  <c r="K71" i="3"/>
  <c r="K56" i="3"/>
  <c r="K10" i="3"/>
  <c r="K4" i="3"/>
  <c r="K61" i="3"/>
  <c r="K25" i="3"/>
  <c r="K55" i="3"/>
  <c r="K57" i="3"/>
  <c r="K7" i="3"/>
  <c r="K74" i="3"/>
  <c r="K6" i="3"/>
  <c r="K49" i="3"/>
  <c r="K23" i="3"/>
  <c r="K26" i="3"/>
  <c r="K11" i="3"/>
  <c r="K86" i="3"/>
  <c r="K21" i="3"/>
  <c r="K37" i="3"/>
  <c r="K27" i="3"/>
  <c r="K88" i="3"/>
  <c r="K67" i="3"/>
  <c r="K60" i="3"/>
  <c r="K34" i="3"/>
  <c r="K81" i="3"/>
  <c r="K38" i="3"/>
  <c r="K79" i="3"/>
  <c r="K50" i="3"/>
  <c r="K58" i="3"/>
  <c r="K12" i="3"/>
  <c r="K16" i="3"/>
  <c r="K24" i="3"/>
  <c r="K14" i="3"/>
  <c r="K20" i="3"/>
  <c r="K5" i="3"/>
  <c r="K53" i="3"/>
  <c r="K51" i="3"/>
  <c r="K76" i="3"/>
  <c r="K32" i="3"/>
  <c r="U96" i="3" l="1"/>
  <c r="U97" i="3" s="1"/>
  <c r="Z96" i="3"/>
  <c r="Z97" i="3" s="1"/>
  <c r="S96" i="3"/>
  <c r="S97" i="3" s="1"/>
  <c r="R96" i="3"/>
  <c r="R97" i="3" s="1"/>
  <c r="W96" i="3"/>
  <c r="W97" i="3" s="1"/>
  <c r="X96" i="3"/>
  <c r="X97" i="3" s="1"/>
  <c r="V96" i="3"/>
  <c r="V97" i="3" s="1"/>
  <c r="Q96" i="3"/>
  <c r="Q97" i="3" s="1"/>
  <c r="T96" i="3"/>
  <c r="T97" i="3" s="1"/>
  <c r="Y96" i="3"/>
  <c r="Y97" i="3" s="1"/>
  <c r="J8" i="6" l="1"/>
  <c r="K8" i="6" s="1"/>
  <c r="L8" i="3" s="1"/>
  <c r="J7" i="6"/>
  <c r="K7" i="6" s="1"/>
  <c r="J6" i="6"/>
  <c r="K6" i="6" s="1"/>
  <c r="J5" i="6"/>
  <c r="K5" i="6" s="1"/>
  <c r="L80" i="3" l="1"/>
  <c r="L52" i="3"/>
  <c r="L78" i="3"/>
  <c r="L33" i="3"/>
  <c r="L73" i="3"/>
  <c r="L10" i="3"/>
  <c r="L77" i="3"/>
  <c r="L89" i="3"/>
  <c r="L55" i="3"/>
  <c r="L75" i="3"/>
  <c r="L71" i="3"/>
  <c r="L54" i="3"/>
  <c r="L47" i="3"/>
  <c r="L36" i="3"/>
  <c r="L68" i="3"/>
  <c r="L69" i="3"/>
  <c r="L31" i="3"/>
  <c r="L25" i="3"/>
  <c r="L22" i="3"/>
  <c r="L19" i="3"/>
  <c r="L72" i="3"/>
  <c r="L44" i="3"/>
  <c r="L90" i="3"/>
  <c r="L57" i="3"/>
  <c r="L4" i="3"/>
  <c r="L70" i="3"/>
  <c r="L43" i="3"/>
  <c r="L7" i="3"/>
  <c r="L87" i="3"/>
  <c r="L9" i="3"/>
  <c r="L3" i="3"/>
  <c r="L30" i="3"/>
  <c r="L28" i="3"/>
  <c r="L56" i="3"/>
  <c r="L61" i="3"/>
  <c r="L45" i="3"/>
  <c r="L13" i="3"/>
  <c r="L66" i="3"/>
  <c r="L46" i="3"/>
  <c r="L48" i="3"/>
  <c r="L59" i="3"/>
  <c r="L35" i="3"/>
  <c r="L29" i="3"/>
  <c r="L32" i="3"/>
  <c r="L24" i="3"/>
  <c r="L49" i="3"/>
  <c r="L14" i="3"/>
  <c r="L16" i="3"/>
  <c r="L6" i="3"/>
  <c r="L60" i="3"/>
  <c r="L37" i="3"/>
  <c r="L20" i="3"/>
  <c r="L12" i="3"/>
  <c r="L38" i="3"/>
  <c r="L50" i="3"/>
  <c r="L34" i="3"/>
  <c r="L58" i="3"/>
  <c r="L67" i="3"/>
  <c r="L86" i="3"/>
  <c r="L23" i="3"/>
  <c r="L88" i="3"/>
  <c r="L5" i="3"/>
  <c r="L74" i="3"/>
  <c r="L79" i="3"/>
  <c r="L21" i="3"/>
  <c r="L26" i="3"/>
  <c r="L81" i="3"/>
  <c r="L11" i="3"/>
  <c r="L27" i="3"/>
  <c r="L76" i="3"/>
  <c r="L51" i="3"/>
  <c r="L53" i="3"/>
  <c r="S99" i="3" l="1"/>
  <c r="S100" i="3" s="1"/>
  <c r="W99" i="3"/>
  <c r="W100" i="3" s="1"/>
  <c r="T99" i="3"/>
  <c r="T100" i="3" s="1"/>
  <c r="R99" i="3"/>
  <c r="R100" i="3" s="1"/>
  <c r="Y99" i="3"/>
  <c r="Y100" i="3" s="1"/>
  <c r="V99" i="3"/>
  <c r="V100" i="3" s="1"/>
  <c r="Z99" i="3"/>
  <c r="Z100" i="3" s="1"/>
  <c r="X99" i="3"/>
  <c r="X100" i="3" s="1"/>
  <c r="Q99" i="3"/>
  <c r="Q100" i="3" s="1"/>
  <c r="U99" i="3"/>
  <c r="U100" i="3" s="1"/>
  <c r="L5" i="6" l="1"/>
  <c r="M5" i="6" s="1"/>
  <c r="M47" i="3" s="1"/>
  <c r="L7" i="6"/>
  <c r="M7" i="6" s="1"/>
  <c r="L6" i="6"/>
  <c r="M6" i="6" s="1"/>
  <c r="L8" i="6"/>
  <c r="M8" i="6" s="1"/>
  <c r="M13" i="3" l="1"/>
  <c r="M61" i="3"/>
  <c r="M48" i="3"/>
  <c r="M89" i="3"/>
  <c r="M59" i="3"/>
  <c r="M7" i="3"/>
  <c r="M56" i="3"/>
  <c r="M31" i="3"/>
  <c r="M71" i="3"/>
  <c r="M29" i="3"/>
  <c r="M32" i="3"/>
  <c r="M77" i="3"/>
  <c r="M9" i="3"/>
  <c r="M68" i="3"/>
  <c r="M45" i="3"/>
  <c r="M19" i="3"/>
  <c r="M10" i="3"/>
  <c r="M36" i="3"/>
  <c r="M28" i="3"/>
  <c r="M22" i="3"/>
  <c r="M43" i="3"/>
  <c r="M69" i="3"/>
  <c r="M66" i="3"/>
  <c r="M30" i="3"/>
  <c r="M46" i="3"/>
  <c r="M57" i="3"/>
  <c r="M55" i="3"/>
  <c r="M35" i="3"/>
  <c r="M44" i="3"/>
  <c r="M3" i="3"/>
  <c r="M75" i="3"/>
  <c r="M4" i="3"/>
  <c r="M25" i="3"/>
  <c r="M72" i="3"/>
  <c r="M90" i="3"/>
  <c r="M54" i="3"/>
  <c r="M87" i="3"/>
  <c r="M70" i="3"/>
  <c r="M73" i="3"/>
  <c r="M78" i="3"/>
  <c r="M8" i="3"/>
  <c r="M33" i="3"/>
  <c r="M52" i="3"/>
  <c r="M80" i="3"/>
  <c r="M81" i="3"/>
  <c r="M12" i="3"/>
  <c r="M60" i="3"/>
  <c r="M27" i="3"/>
  <c r="M20" i="3"/>
  <c r="M23" i="3"/>
  <c r="M74" i="3"/>
  <c r="M58" i="3"/>
  <c r="M88" i="3"/>
  <c r="M79" i="3"/>
  <c r="M6" i="3"/>
  <c r="M21" i="3"/>
  <c r="M38" i="3"/>
  <c r="M49" i="3"/>
  <c r="M26" i="3"/>
  <c r="M67" i="3"/>
  <c r="M5" i="3"/>
  <c r="M37" i="3"/>
  <c r="M16" i="3"/>
  <c r="M11" i="3"/>
  <c r="M50" i="3"/>
  <c r="M86" i="3"/>
  <c r="M34" i="3"/>
  <c r="M14" i="3"/>
  <c r="M24" i="3"/>
  <c r="M53" i="3"/>
  <c r="M51" i="3"/>
  <c r="M76" i="3"/>
  <c r="W102" i="3" l="1"/>
  <c r="W103" i="3" s="1"/>
  <c r="Z102" i="3"/>
  <c r="Z103" i="3" s="1"/>
  <c r="X102" i="3"/>
  <c r="X103" i="3" s="1"/>
  <c r="U102" i="3"/>
  <c r="U103" i="3" s="1"/>
  <c r="S102" i="3"/>
  <c r="S103" i="3" s="1"/>
  <c r="R102" i="3"/>
  <c r="R103" i="3" s="1"/>
  <c r="T102" i="3"/>
  <c r="T103" i="3" s="1"/>
  <c r="Y102" i="3"/>
  <c r="Y103" i="3" s="1"/>
  <c r="V102" i="3"/>
  <c r="V103" i="3" s="1"/>
  <c r="Q102" i="3"/>
  <c r="Q103" i="3" s="1"/>
  <c r="N5" i="6" l="1"/>
  <c r="O5" i="6" s="1"/>
  <c r="N87" i="3" s="1"/>
  <c r="N7" i="6"/>
  <c r="O7" i="6" s="1"/>
  <c r="N6" i="6"/>
  <c r="O6" i="6" s="1"/>
  <c r="N8" i="6"/>
  <c r="O8" i="6" s="1"/>
  <c r="N36" i="3" l="1"/>
  <c r="N90" i="3"/>
  <c r="N77" i="3"/>
  <c r="N7" i="3"/>
  <c r="N89" i="3"/>
  <c r="N9" i="3"/>
  <c r="N68" i="3"/>
  <c r="N57" i="3"/>
  <c r="N44" i="3"/>
  <c r="N69" i="3"/>
  <c r="N19" i="3"/>
  <c r="N55" i="3"/>
  <c r="N31" i="3"/>
  <c r="N45" i="3"/>
  <c r="N4" i="3"/>
  <c r="N70" i="3"/>
  <c r="N29" i="3"/>
  <c r="N28" i="3"/>
  <c r="N25" i="3"/>
  <c r="N59" i="3"/>
  <c r="N30" i="3"/>
  <c r="N56" i="3"/>
  <c r="N71" i="3"/>
  <c r="N35" i="3"/>
  <c r="N61" i="3"/>
  <c r="N46" i="3"/>
  <c r="N47" i="3"/>
  <c r="N43" i="3"/>
  <c r="N48" i="3"/>
  <c r="N75" i="3"/>
  <c r="N22" i="3"/>
  <c r="N72" i="3"/>
  <c r="N32" i="3"/>
  <c r="N3" i="3"/>
  <c r="N10" i="3"/>
  <c r="N66" i="3"/>
  <c r="N13" i="3"/>
  <c r="N54" i="3"/>
  <c r="N78" i="3"/>
  <c r="N8" i="3"/>
  <c r="N33" i="3"/>
  <c r="N73" i="3"/>
  <c r="N52" i="3"/>
  <c r="N80" i="3"/>
  <c r="N23" i="3"/>
  <c r="N12" i="3"/>
  <c r="N27" i="3"/>
  <c r="N79" i="3"/>
  <c r="N5" i="3"/>
  <c r="N81" i="3"/>
  <c r="N38" i="3"/>
  <c r="N49" i="3"/>
  <c r="N11" i="3"/>
  <c r="N20" i="3"/>
  <c r="N14" i="3"/>
  <c r="N34" i="3"/>
  <c r="N86" i="3"/>
  <c r="N24" i="3"/>
  <c r="N67" i="3"/>
  <c r="N88" i="3"/>
  <c r="N37" i="3"/>
  <c r="N60" i="3"/>
  <c r="N26" i="3"/>
  <c r="N74" i="3"/>
  <c r="N16" i="3"/>
  <c r="N21" i="3"/>
  <c r="N50" i="3"/>
  <c r="N6" i="3"/>
  <c r="N58" i="3"/>
  <c r="N51" i="3"/>
  <c r="N76" i="3"/>
  <c r="N53" i="3"/>
  <c r="R105" i="3" l="1"/>
  <c r="R106" i="3" s="1"/>
  <c r="Z105" i="3"/>
  <c r="Z106" i="3" s="1"/>
  <c r="V105" i="3"/>
  <c r="V106" i="3" s="1"/>
  <c r="U105" i="3"/>
  <c r="U106" i="3" s="1"/>
  <c r="W105" i="3"/>
  <c r="W106" i="3" s="1"/>
  <c r="T105" i="3"/>
  <c r="T106" i="3" s="1"/>
  <c r="Q105" i="3"/>
  <c r="Q106" i="3" s="1"/>
  <c r="X105" i="3"/>
  <c r="X106" i="3" s="1"/>
  <c r="S105" i="3"/>
  <c r="S106" i="3" s="1"/>
  <c r="Y105" i="3"/>
  <c r="Y106" i="3" s="1"/>
  <c r="P5" i="6" l="1"/>
  <c r="Q5" i="6" s="1"/>
  <c r="O43" i="3" s="1"/>
  <c r="P6" i="6"/>
  <c r="Q6" i="6" s="1"/>
  <c r="P7" i="6"/>
  <c r="Q7" i="6" s="1"/>
  <c r="P8" i="6"/>
  <c r="Q8" i="6" s="1"/>
  <c r="O7" i="3" l="1"/>
  <c r="O13" i="3"/>
  <c r="O66" i="3"/>
  <c r="O71" i="3"/>
  <c r="O35" i="3"/>
  <c r="O54" i="3"/>
  <c r="O77" i="3"/>
  <c r="O46" i="3"/>
  <c r="O48" i="3"/>
  <c r="O9" i="3"/>
  <c r="O31" i="3"/>
  <c r="O47" i="3"/>
  <c r="O68" i="3"/>
  <c r="O44" i="3"/>
  <c r="O45" i="3"/>
  <c r="O19" i="3"/>
  <c r="O72" i="3"/>
  <c r="O28" i="3"/>
  <c r="O29" i="3"/>
  <c r="O30" i="3"/>
  <c r="O22" i="3"/>
  <c r="O90" i="3"/>
  <c r="O89" i="3"/>
  <c r="O87" i="3"/>
  <c r="O36" i="3"/>
  <c r="O75" i="3"/>
  <c r="O70" i="3"/>
  <c r="O3" i="3"/>
  <c r="O69" i="3"/>
  <c r="O32" i="3"/>
  <c r="O57" i="3"/>
  <c r="O10" i="3"/>
  <c r="O61" i="3"/>
  <c r="O59" i="3"/>
  <c r="O51" i="3"/>
  <c r="O53" i="3"/>
  <c r="O76" i="3"/>
  <c r="O4" i="3"/>
  <c r="O80" i="3"/>
  <c r="O8" i="3"/>
  <c r="O78" i="3"/>
  <c r="O73" i="3"/>
  <c r="O33" i="3"/>
  <c r="O52" i="3"/>
  <c r="O55" i="3"/>
  <c r="O14" i="3"/>
  <c r="O74" i="3"/>
  <c r="O38" i="3"/>
  <c r="O60" i="3"/>
  <c r="O50" i="3"/>
  <c r="O49" i="3"/>
  <c r="O34" i="3"/>
  <c r="O21" i="3"/>
  <c r="O86" i="3"/>
  <c r="O58" i="3"/>
  <c r="O37" i="3"/>
  <c r="O11" i="3"/>
  <c r="O5" i="3"/>
  <c r="O26" i="3"/>
  <c r="O27" i="3"/>
  <c r="O16" i="3"/>
  <c r="O81" i="3"/>
  <c r="O23" i="3"/>
  <c r="O12" i="3"/>
  <c r="O20" i="3"/>
  <c r="O88" i="3"/>
  <c r="O67" i="3"/>
  <c r="O24" i="3"/>
  <c r="O79" i="3"/>
  <c r="O6" i="3"/>
  <c r="O56" i="3"/>
  <c r="O25" i="3"/>
  <c r="T130" i="6" l="1" a="1"/>
  <c r="T130" i="6" s="1"/>
  <c r="T119" i="6" a="1"/>
  <c r="T119" i="6" s="1"/>
  <c r="T42" i="6" a="1"/>
  <c r="T42" i="6" s="1"/>
  <c r="T53" i="6" a="1"/>
  <c r="T53" i="6" s="1"/>
  <c r="T63" i="6" a="1"/>
  <c r="T63" i="6" s="1"/>
  <c r="T73" i="6" a="1"/>
  <c r="T73" i="6" s="1"/>
  <c r="T109" i="6" a="1"/>
  <c r="T109" i="6" s="1"/>
  <c r="T120" i="6" a="1"/>
  <c r="T120" i="6" s="1"/>
  <c r="T43" i="6" a="1"/>
  <c r="T43" i="6" s="1"/>
  <c r="T64" i="6" a="1"/>
  <c r="T64" i="6" s="1"/>
  <c r="T74" i="6" a="1"/>
  <c r="T74" i="6" s="1"/>
  <c r="T84" i="6" a="1"/>
  <c r="T84" i="6" s="1"/>
  <c r="T95" i="6" a="1"/>
  <c r="T95" i="6" s="1"/>
  <c r="T105" i="6" a="1"/>
  <c r="T105" i="6" s="1"/>
  <c r="T110" i="6" a="1"/>
  <c r="T110" i="6" s="1"/>
  <c r="T44" i="6" a="1"/>
  <c r="T44" i="6" s="1"/>
  <c r="T54" i="6" a="1"/>
  <c r="T54" i="6" s="1"/>
  <c r="T65" i="6" a="1"/>
  <c r="T65" i="6" s="1"/>
  <c r="T75" i="6" a="1"/>
  <c r="T75" i="6" s="1"/>
  <c r="T85" i="6" a="1"/>
  <c r="T85" i="6" s="1"/>
  <c r="T106" i="6" a="1"/>
  <c r="T106" i="6" s="1"/>
  <c r="T111" i="6" a="1"/>
  <c r="T111" i="6" s="1"/>
  <c r="T121" i="6" a="1"/>
  <c r="T121" i="6" s="1"/>
  <c r="T45" i="6" a="1"/>
  <c r="T45" i="6" s="1"/>
  <c r="T55" i="6" a="1"/>
  <c r="T55" i="6" s="1"/>
  <c r="T76" i="6" a="1"/>
  <c r="T76" i="6" s="1"/>
  <c r="T86" i="6" a="1"/>
  <c r="T86" i="6" s="1"/>
  <c r="T96" i="6" a="1"/>
  <c r="T96" i="6" s="1"/>
  <c r="T107" i="6" a="1"/>
  <c r="T107" i="6" s="1"/>
  <c r="T112" i="6" a="1"/>
  <c r="T112" i="6" s="1"/>
  <c r="T122" i="6" a="1"/>
  <c r="T122" i="6" s="1"/>
  <c r="T46" i="6" a="1"/>
  <c r="T46" i="6" s="1"/>
  <c r="T56" i="6" a="1"/>
  <c r="T56" i="6" s="1"/>
  <c r="T66" i="6" a="1"/>
  <c r="T66" i="6" s="1"/>
  <c r="T77" i="6" a="1"/>
  <c r="T77" i="6" s="1"/>
  <c r="T87" i="6" a="1"/>
  <c r="T87" i="6" s="1"/>
  <c r="T97" i="6" a="1"/>
  <c r="T97" i="6" s="1"/>
  <c r="T108" i="6" a="1"/>
  <c r="T108" i="6" s="1"/>
  <c r="T113" i="6" a="1"/>
  <c r="T113" i="6" s="1"/>
  <c r="T123" i="6" a="1"/>
  <c r="T123" i="6" s="1"/>
  <c r="T47" i="6" a="1"/>
  <c r="T47" i="6" s="1"/>
  <c r="T57" i="6" a="1"/>
  <c r="T57" i="6" s="1"/>
  <c r="T67" i="6" a="1"/>
  <c r="T67" i="6" s="1"/>
  <c r="T88" i="6" a="1"/>
  <c r="T88" i="6" s="1"/>
  <c r="T98" i="6" a="1"/>
  <c r="T98" i="6" s="1"/>
  <c r="T41" i="6" a="1"/>
  <c r="T41" i="6" s="1"/>
  <c r="T114" i="6" a="1"/>
  <c r="T114" i="6" s="1"/>
  <c r="T124" i="6" a="1"/>
  <c r="T124" i="6" s="1"/>
  <c r="T58" i="6" a="1"/>
  <c r="T58" i="6" s="1"/>
  <c r="T68" i="6" a="1"/>
  <c r="T68" i="6" s="1"/>
  <c r="T78" i="6" a="1"/>
  <c r="T78" i="6" s="1"/>
  <c r="T89" i="6" a="1"/>
  <c r="T89" i="6" s="1"/>
  <c r="T99" i="6" a="1"/>
  <c r="T99" i="6" s="1"/>
  <c r="T125" i="6" a="1"/>
  <c r="T125" i="6" s="1"/>
  <c r="T48" i="6" a="1"/>
  <c r="T48" i="6" s="1"/>
  <c r="T59" i="6" a="1"/>
  <c r="T59" i="6" s="1"/>
  <c r="T69" i="6" a="1"/>
  <c r="T69" i="6" s="1"/>
  <c r="T79" i="6" a="1"/>
  <c r="T79" i="6" s="1"/>
  <c r="T100" i="6" a="1"/>
  <c r="T100" i="6" s="1"/>
  <c r="T101" i="6" a="1"/>
  <c r="T101" i="6" s="1"/>
  <c r="T115" i="6" a="1"/>
  <c r="T115" i="6" s="1"/>
  <c r="T126" i="6" a="1"/>
  <c r="T126" i="6" s="1"/>
  <c r="T49" i="6" a="1"/>
  <c r="T49" i="6" s="1"/>
  <c r="T70" i="6" a="1"/>
  <c r="T70" i="6" s="1"/>
  <c r="T80" i="6" a="1"/>
  <c r="T80" i="6" s="1"/>
  <c r="T90" i="6" a="1"/>
  <c r="T90" i="6" s="1"/>
  <c r="T103" i="6" a="1"/>
  <c r="T103" i="6" s="1"/>
  <c r="T116" i="6" a="1"/>
  <c r="T116" i="6" s="1"/>
  <c r="T127" i="6" a="1"/>
  <c r="T127" i="6" s="1"/>
  <c r="T50" i="6" a="1"/>
  <c r="T50" i="6" s="1"/>
  <c r="T60" i="6" a="1"/>
  <c r="T60" i="6" s="1"/>
  <c r="T71" i="6" a="1"/>
  <c r="T71" i="6" s="1"/>
  <c r="T81" i="6" a="1"/>
  <c r="T81" i="6" s="1"/>
  <c r="T91" i="6" a="1"/>
  <c r="T91" i="6" s="1"/>
  <c r="T93" i="6" a="1"/>
  <c r="T93" i="6" s="1"/>
  <c r="T117" i="6" a="1"/>
  <c r="T117" i="6" s="1"/>
  <c r="T128" i="6" a="1"/>
  <c r="T128" i="6" s="1"/>
  <c r="T51" i="6" a="1"/>
  <c r="T51" i="6" s="1"/>
  <c r="T61" i="6" a="1"/>
  <c r="T61" i="6" s="1"/>
  <c r="T82" i="6" a="1"/>
  <c r="T82" i="6" s="1"/>
  <c r="T92" i="6" a="1"/>
  <c r="T92" i="6" s="1"/>
  <c r="T102" i="6" a="1"/>
  <c r="T102" i="6" s="1"/>
  <c r="T104" i="6" a="1"/>
  <c r="T104" i="6" s="1"/>
  <c r="T118" i="6" a="1"/>
  <c r="T118" i="6" s="1"/>
  <c r="T129" i="6" a="1"/>
  <c r="T129" i="6" s="1"/>
  <c r="T52" i="6" a="1"/>
  <c r="T52" i="6" s="1"/>
  <c r="T62" i="6" a="1"/>
  <c r="T62" i="6" s="1"/>
  <c r="T72" i="6" a="1"/>
  <c r="T72" i="6" s="1"/>
  <c r="T83" i="6" a="1"/>
  <c r="T83" i="6" s="1"/>
  <c r="T94" i="6" a="1"/>
  <c r="T94" i="6" s="1"/>
  <c r="D130" i="6" a="1"/>
  <c r="D130" i="6" s="1"/>
  <c r="D52" i="6" a="1"/>
  <c r="D52" i="6" s="1"/>
  <c r="D62" i="6" a="1"/>
  <c r="D62" i="6" s="1"/>
  <c r="D72" i="6" a="1"/>
  <c r="D72" i="6" s="1"/>
  <c r="D83" i="6" a="1"/>
  <c r="D83" i="6" s="1"/>
  <c r="D93" i="6" a="1"/>
  <c r="D93" i="6" s="1"/>
  <c r="D103" i="6" a="1"/>
  <c r="D103" i="6" s="1"/>
  <c r="D115" i="6" a="1"/>
  <c r="D115" i="6" s="1"/>
  <c r="D127" i="6" a="1"/>
  <c r="D127" i="6" s="1"/>
  <c r="D42" i="6" a="1"/>
  <c r="D42" i="6" s="1"/>
  <c r="D53" i="6" a="1"/>
  <c r="D53" i="6" s="1"/>
  <c r="D63" i="6" a="1"/>
  <c r="D63" i="6" s="1"/>
  <c r="D73" i="6" a="1"/>
  <c r="D73" i="6" s="1"/>
  <c r="D94" i="6" a="1"/>
  <c r="D94" i="6" s="1"/>
  <c r="D104" i="6" a="1"/>
  <c r="D104" i="6" s="1"/>
  <c r="D116" i="6" a="1"/>
  <c r="D116" i="6" s="1"/>
  <c r="D128" i="6" a="1"/>
  <c r="D128" i="6" s="1"/>
  <c r="D43" i="6" a="1"/>
  <c r="D43" i="6" s="1"/>
  <c r="D64" i="6" a="1"/>
  <c r="D64" i="6" s="1"/>
  <c r="D74" i="6" a="1"/>
  <c r="D74" i="6" s="1"/>
  <c r="D84" i="6" a="1"/>
  <c r="D84" i="6" s="1"/>
  <c r="D95" i="6" a="1"/>
  <c r="D95" i="6" s="1"/>
  <c r="D105" i="6" a="1"/>
  <c r="D105" i="6" s="1"/>
  <c r="D117" i="6" a="1"/>
  <c r="D117" i="6" s="1"/>
  <c r="D129" i="6" a="1"/>
  <c r="D129" i="6" s="1"/>
  <c r="D44" i="6" a="1"/>
  <c r="D44" i="6" s="1"/>
  <c r="D54" i="6" a="1"/>
  <c r="D54" i="6" s="1"/>
  <c r="D65" i="6" a="1"/>
  <c r="D65" i="6" s="1"/>
  <c r="D75" i="6" a="1"/>
  <c r="D75" i="6" s="1"/>
  <c r="D85" i="6" a="1"/>
  <c r="D85" i="6" s="1"/>
  <c r="D106" i="6" a="1"/>
  <c r="D106" i="6" s="1"/>
  <c r="D118" i="6" a="1"/>
  <c r="D118" i="6" s="1"/>
  <c r="D41" i="6" a="1"/>
  <c r="D41" i="6" s="1"/>
  <c r="D45" i="6" a="1"/>
  <c r="D45" i="6" s="1"/>
  <c r="D55" i="6" a="1"/>
  <c r="D55" i="6" s="1"/>
  <c r="D76" i="6" a="1"/>
  <c r="D76" i="6" s="1"/>
  <c r="D86" i="6" a="1"/>
  <c r="D86" i="6" s="1"/>
  <c r="D96" i="6" a="1"/>
  <c r="D96" i="6" s="1"/>
  <c r="D107" i="6" a="1"/>
  <c r="D107" i="6" s="1"/>
  <c r="D119" i="6" a="1"/>
  <c r="D119" i="6" s="1"/>
  <c r="D46" i="6" a="1"/>
  <c r="D46" i="6" s="1"/>
  <c r="D56" i="6" a="1"/>
  <c r="D56" i="6" s="1"/>
  <c r="D66" i="6" a="1"/>
  <c r="D66" i="6" s="1"/>
  <c r="D77" i="6" a="1"/>
  <c r="D77" i="6" s="1"/>
  <c r="D87" i="6" a="1"/>
  <c r="D87" i="6" s="1"/>
  <c r="D97" i="6" a="1"/>
  <c r="D97" i="6" s="1"/>
  <c r="D108" i="6" a="1"/>
  <c r="D108" i="6" s="1"/>
  <c r="D120" i="6" a="1"/>
  <c r="D120" i="6" s="1"/>
  <c r="D47" i="6" a="1"/>
  <c r="D47" i="6" s="1"/>
  <c r="D57" i="6" a="1"/>
  <c r="D57" i="6" s="1"/>
  <c r="D67" i="6" a="1"/>
  <c r="D67" i="6" s="1"/>
  <c r="D88" i="6" a="1"/>
  <c r="D88" i="6" s="1"/>
  <c r="D98" i="6" a="1"/>
  <c r="D98" i="6" s="1"/>
  <c r="D109" i="6" a="1"/>
  <c r="D109" i="6" s="1"/>
  <c r="D121" i="6" a="1"/>
  <c r="D121" i="6" s="1"/>
  <c r="D58" i="6" a="1"/>
  <c r="D58" i="6" s="1"/>
  <c r="D68" i="6" a="1"/>
  <c r="D68" i="6" s="1"/>
  <c r="D78" i="6" a="1"/>
  <c r="D78" i="6" s="1"/>
  <c r="D89" i="6" a="1"/>
  <c r="D89" i="6" s="1"/>
  <c r="D99" i="6" a="1"/>
  <c r="D99" i="6" s="1"/>
  <c r="D110" i="6" a="1"/>
  <c r="D110" i="6" s="1"/>
  <c r="D122" i="6" a="1"/>
  <c r="D122" i="6" s="1"/>
  <c r="D48" i="6" a="1"/>
  <c r="D48" i="6" s="1"/>
  <c r="D59" i="6" a="1"/>
  <c r="D59" i="6" s="1"/>
  <c r="D69" i="6" a="1"/>
  <c r="D69" i="6" s="1"/>
  <c r="D79" i="6" a="1"/>
  <c r="D79" i="6" s="1"/>
  <c r="D100" i="6" a="1"/>
  <c r="D100" i="6" s="1"/>
  <c r="D111" i="6" a="1"/>
  <c r="D111" i="6" s="1"/>
  <c r="D123" i="6" a="1"/>
  <c r="D123" i="6" s="1"/>
  <c r="D49" i="6" a="1"/>
  <c r="D49" i="6" s="1"/>
  <c r="D70" i="6" a="1"/>
  <c r="D70" i="6" s="1"/>
  <c r="D80" i="6" a="1"/>
  <c r="D80" i="6" s="1"/>
  <c r="D90" i="6" a="1"/>
  <c r="D90" i="6" s="1"/>
  <c r="D101" i="6" a="1"/>
  <c r="D101" i="6" s="1"/>
  <c r="D112" i="6" a="1"/>
  <c r="D112" i="6" s="1"/>
  <c r="D124" i="6" a="1"/>
  <c r="D124" i="6" s="1"/>
  <c r="D50" i="6" a="1"/>
  <c r="D50" i="6" s="1"/>
  <c r="D60" i="6" a="1"/>
  <c r="D60" i="6" s="1"/>
  <c r="D71" i="6" a="1"/>
  <c r="D71" i="6" s="1"/>
  <c r="D81" i="6" a="1"/>
  <c r="D81" i="6" s="1"/>
  <c r="D91" i="6" a="1"/>
  <c r="D91" i="6" s="1"/>
  <c r="D113" i="6" a="1"/>
  <c r="D113" i="6" s="1"/>
  <c r="D125" i="6" a="1"/>
  <c r="D125" i="6" s="1"/>
  <c r="D51" i="6" a="1"/>
  <c r="D51" i="6" s="1"/>
  <c r="D61" i="6" a="1"/>
  <c r="D61" i="6" s="1"/>
  <c r="D82" i="6" a="1"/>
  <c r="D82" i="6" s="1"/>
  <c r="D92" i="6" a="1"/>
  <c r="D92" i="6" s="1"/>
  <c r="D102" i="6" a="1"/>
  <c r="D102" i="6" s="1"/>
  <c r="D114" i="6" a="1"/>
  <c r="D114" i="6" s="1"/>
  <c r="D126" i="6" a="1"/>
  <c r="D126" i="6" s="1"/>
  <c r="D16" i="6" a="1"/>
  <c r="D16" i="6" s="1"/>
  <c r="D17" i="6" a="1"/>
  <c r="D17" i="6" s="1"/>
  <c r="D18" i="6" a="1"/>
  <c r="D18" i="6" s="1"/>
  <c r="D19" i="6" a="1"/>
  <c r="D19" i="6" s="1"/>
  <c r="D20" i="6" a="1"/>
  <c r="D20" i="6" s="1"/>
  <c r="D21" i="6" a="1"/>
  <c r="D21" i="6" s="1"/>
  <c r="D22" i="6" a="1"/>
  <c r="D22" i="6" s="1"/>
  <c r="D23" i="6" a="1"/>
  <c r="D23" i="6" s="1"/>
  <c r="D15" i="6" a="1"/>
  <c r="D15" i="6" s="1"/>
  <c r="A42" i="6" a="1"/>
  <c r="A42" i="6" s="1"/>
  <c r="A53" i="6" a="1"/>
  <c r="A53" i="6" s="1"/>
  <c r="A63" i="6" a="1"/>
  <c r="A63" i="6" s="1"/>
  <c r="A73" i="6" a="1"/>
  <c r="A73" i="6" s="1"/>
  <c r="A85" i="6" a="1"/>
  <c r="A85" i="6" s="1"/>
  <c r="A97" i="6" a="1"/>
  <c r="A97" i="6" s="1"/>
  <c r="A109" i="6" a="1"/>
  <c r="A109" i="6" s="1"/>
  <c r="A121" i="6" a="1"/>
  <c r="A121" i="6" s="1"/>
  <c r="B43" i="6" a="1"/>
  <c r="B43" i="6" s="1"/>
  <c r="B64" i="6" a="1"/>
  <c r="B64" i="6" s="1"/>
  <c r="B75" i="6" a="1"/>
  <c r="B75" i="6" s="1"/>
  <c r="B87" i="6" a="1"/>
  <c r="B87" i="6" s="1"/>
  <c r="B99" i="6" a="1"/>
  <c r="B99" i="6" s="1"/>
  <c r="B111" i="6" a="1"/>
  <c r="B111" i="6" s="1"/>
  <c r="B123" i="6" a="1"/>
  <c r="B123" i="6" s="1"/>
  <c r="A43" i="6" a="1"/>
  <c r="A43" i="6" s="1"/>
  <c r="A64" i="6" a="1"/>
  <c r="A64" i="6" s="1"/>
  <c r="A74" i="6" a="1"/>
  <c r="A74" i="6" s="1"/>
  <c r="A86" i="6" a="1"/>
  <c r="A86" i="6" s="1"/>
  <c r="A98" i="6" a="1"/>
  <c r="A98" i="6" s="1"/>
  <c r="A110" i="6" a="1"/>
  <c r="A110" i="6" s="1"/>
  <c r="A122" i="6" a="1"/>
  <c r="A122" i="6" s="1"/>
  <c r="B44" i="6" a="1"/>
  <c r="B44" i="6" s="1"/>
  <c r="B54" i="6" a="1"/>
  <c r="B54" i="6" s="1"/>
  <c r="B65" i="6" a="1"/>
  <c r="B65" i="6" s="1"/>
  <c r="B76" i="6" a="1"/>
  <c r="B76" i="6" s="1"/>
  <c r="B88" i="6" a="1"/>
  <c r="B88" i="6" s="1"/>
  <c r="B100" i="6" a="1"/>
  <c r="B100" i="6" s="1"/>
  <c r="B112" i="6" a="1"/>
  <c r="B112" i="6" s="1"/>
  <c r="B124" i="6" a="1"/>
  <c r="B124" i="6" s="1"/>
  <c r="A44" i="6" a="1"/>
  <c r="A44" i="6" s="1"/>
  <c r="A54" i="6" a="1"/>
  <c r="A54" i="6" s="1"/>
  <c r="A65" i="6" a="1"/>
  <c r="A65" i="6" s="1"/>
  <c r="A75" i="6" a="1"/>
  <c r="A75" i="6" s="1"/>
  <c r="A87" i="6" a="1"/>
  <c r="A87" i="6" s="1"/>
  <c r="A99" i="6" a="1"/>
  <c r="A99" i="6" s="1"/>
  <c r="A111" i="6" a="1"/>
  <c r="A111" i="6" s="1"/>
  <c r="A123" i="6" a="1"/>
  <c r="A123" i="6" s="1"/>
  <c r="B45" i="6" a="1"/>
  <c r="B45" i="6" s="1"/>
  <c r="B55" i="6" a="1"/>
  <c r="B55" i="6" s="1"/>
  <c r="B77" i="6" a="1"/>
  <c r="B77" i="6" s="1"/>
  <c r="B89" i="6" a="1"/>
  <c r="B89" i="6" s="1"/>
  <c r="B101" i="6" a="1"/>
  <c r="B101" i="6" s="1"/>
  <c r="B113" i="6" a="1"/>
  <c r="B113" i="6" s="1"/>
  <c r="B125" i="6" a="1"/>
  <c r="B125" i="6" s="1"/>
  <c r="A45" i="6" a="1"/>
  <c r="A45" i="6" s="1"/>
  <c r="A55" i="6" a="1"/>
  <c r="A55" i="6" s="1"/>
  <c r="A76" i="6" a="1"/>
  <c r="A76" i="6" s="1"/>
  <c r="A88" i="6" a="1"/>
  <c r="A88" i="6" s="1"/>
  <c r="A100" i="6" a="1"/>
  <c r="A100" i="6" s="1"/>
  <c r="A112" i="6" a="1"/>
  <c r="A112" i="6" s="1"/>
  <c r="A124" i="6" a="1"/>
  <c r="A124" i="6" s="1"/>
  <c r="B46" i="6" a="1"/>
  <c r="B46" i="6" s="1"/>
  <c r="B56" i="6" a="1"/>
  <c r="B56" i="6" s="1"/>
  <c r="B66" i="6" a="1"/>
  <c r="B66" i="6" s="1"/>
  <c r="B78" i="6" a="1"/>
  <c r="B78" i="6" s="1"/>
  <c r="B90" i="6" a="1"/>
  <c r="B90" i="6" s="1"/>
  <c r="B102" i="6" a="1"/>
  <c r="B102" i="6" s="1"/>
  <c r="B114" i="6" a="1"/>
  <c r="B114" i="6" s="1"/>
  <c r="B126" i="6" a="1"/>
  <c r="B126" i="6" s="1"/>
  <c r="A46" i="6" a="1"/>
  <c r="A46" i="6" s="1"/>
  <c r="A56" i="6" a="1"/>
  <c r="A56" i="6" s="1"/>
  <c r="A66" i="6" a="1"/>
  <c r="A66" i="6" s="1"/>
  <c r="A77" i="6" a="1"/>
  <c r="A77" i="6" s="1"/>
  <c r="A89" i="6" a="1"/>
  <c r="A89" i="6" s="1"/>
  <c r="A101" i="6" a="1"/>
  <c r="A101" i="6" s="1"/>
  <c r="A113" i="6" a="1"/>
  <c r="A113" i="6" s="1"/>
  <c r="A125" i="6" a="1"/>
  <c r="A125" i="6" s="1"/>
  <c r="B47" i="6" a="1"/>
  <c r="B47" i="6" s="1"/>
  <c r="B57" i="6" a="1"/>
  <c r="B57" i="6" s="1"/>
  <c r="B67" i="6" a="1"/>
  <c r="B67" i="6" s="1"/>
  <c r="B79" i="6" a="1"/>
  <c r="B79" i="6" s="1"/>
  <c r="B91" i="6" a="1"/>
  <c r="B91" i="6" s="1"/>
  <c r="B103" i="6" a="1"/>
  <c r="B103" i="6" s="1"/>
  <c r="B115" i="6" a="1"/>
  <c r="B115" i="6" s="1"/>
  <c r="B127" i="6" a="1"/>
  <c r="B127" i="6" s="1"/>
  <c r="A47" i="6" a="1"/>
  <c r="A47" i="6" s="1"/>
  <c r="A57" i="6" a="1"/>
  <c r="A57" i="6" s="1"/>
  <c r="A67" i="6" a="1"/>
  <c r="A67" i="6" s="1"/>
  <c r="A78" i="6" a="1"/>
  <c r="A78" i="6" s="1"/>
  <c r="A90" i="6" a="1"/>
  <c r="A90" i="6" s="1"/>
  <c r="A102" i="6" a="1"/>
  <c r="A102" i="6" s="1"/>
  <c r="A114" i="6" a="1"/>
  <c r="A114" i="6" s="1"/>
  <c r="A126" i="6" a="1"/>
  <c r="A126" i="6" s="1"/>
  <c r="B58" i="6" a="1"/>
  <c r="B58" i="6" s="1"/>
  <c r="B68" i="6" a="1"/>
  <c r="B68" i="6" s="1"/>
  <c r="B80" i="6" a="1"/>
  <c r="B80" i="6" s="1"/>
  <c r="B92" i="6" a="1"/>
  <c r="B92" i="6" s="1"/>
  <c r="B104" i="6" a="1"/>
  <c r="B104" i="6" s="1"/>
  <c r="B116" i="6" a="1"/>
  <c r="B116" i="6" s="1"/>
  <c r="B128" i="6" a="1"/>
  <c r="B128" i="6" s="1"/>
  <c r="A58" i="6" a="1"/>
  <c r="A58" i="6" s="1"/>
  <c r="A68" i="6" a="1"/>
  <c r="A68" i="6" s="1"/>
  <c r="A79" i="6" a="1"/>
  <c r="A79" i="6" s="1"/>
  <c r="A91" i="6" a="1"/>
  <c r="A91" i="6" s="1"/>
  <c r="A103" i="6" a="1"/>
  <c r="A103" i="6" s="1"/>
  <c r="A115" i="6" a="1"/>
  <c r="A115" i="6" s="1"/>
  <c r="A127" i="6" a="1"/>
  <c r="A127" i="6" s="1"/>
  <c r="B48" i="6" a="1"/>
  <c r="B48" i="6" s="1"/>
  <c r="B59" i="6" a="1"/>
  <c r="B59" i="6" s="1"/>
  <c r="B69" i="6" a="1"/>
  <c r="B69" i="6" s="1"/>
  <c r="B81" i="6" a="1"/>
  <c r="B81" i="6" s="1"/>
  <c r="B93" i="6" a="1"/>
  <c r="B93" i="6" s="1"/>
  <c r="B105" i="6" a="1"/>
  <c r="B105" i="6" s="1"/>
  <c r="B117" i="6" a="1"/>
  <c r="B117" i="6" s="1"/>
  <c r="B129" i="6" a="1"/>
  <c r="B129" i="6" s="1"/>
  <c r="A48" i="6" a="1"/>
  <c r="A48" i="6" s="1"/>
  <c r="A59" i="6" a="1"/>
  <c r="A59" i="6" s="1"/>
  <c r="A69" i="6" a="1"/>
  <c r="A69" i="6" s="1"/>
  <c r="A80" i="6" a="1"/>
  <c r="A80" i="6" s="1"/>
  <c r="A92" i="6" a="1"/>
  <c r="A92" i="6" s="1"/>
  <c r="A104" i="6" a="1"/>
  <c r="A104" i="6" s="1"/>
  <c r="A116" i="6" a="1"/>
  <c r="A116" i="6" s="1"/>
  <c r="A128" i="6" a="1"/>
  <c r="A128" i="6" s="1"/>
  <c r="B49" i="6" a="1"/>
  <c r="B49" i="6" s="1"/>
  <c r="B70" i="6" a="1"/>
  <c r="B70" i="6" s="1"/>
  <c r="B82" i="6" a="1"/>
  <c r="B82" i="6" s="1"/>
  <c r="B94" i="6" a="1"/>
  <c r="B94" i="6" s="1"/>
  <c r="B106" i="6" a="1"/>
  <c r="B106" i="6" s="1"/>
  <c r="B118" i="6" a="1"/>
  <c r="B118" i="6" s="1"/>
  <c r="B130" i="6" a="1"/>
  <c r="B130" i="6" s="1"/>
  <c r="A49" i="6" a="1"/>
  <c r="A49" i="6" s="1"/>
  <c r="A70" i="6" a="1"/>
  <c r="A70" i="6" s="1"/>
  <c r="A81" i="6" a="1"/>
  <c r="A81" i="6" s="1"/>
  <c r="A93" i="6" a="1"/>
  <c r="A93" i="6" s="1"/>
  <c r="A105" i="6" a="1"/>
  <c r="A105" i="6" s="1"/>
  <c r="A117" i="6" a="1"/>
  <c r="A117" i="6" s="1"/>
  <c r="A129" i="6" a="1"/>
  <c r="A129" i="6" s="1"/>
  <c r="B50" i="6" a="1"/>
  <c r="B50" i="6" s="1"/>
  <c r="B60" i="6" a="1"/>
  <c r="B60" i="6" s="1"/>
  <c r="B71" i="6" a="1"/>
  <c r="B71" i="6" s="1"/>
  <c r="B83" i="6" a="1"/>
  <c r="B83" i="6" s="1"/>
  <c r="B95" i="6" a="1"/>
  <c r="B95" i="6" s="1"/>
  <c r="B107" i="6" a="1"/>
  <c r="B107" i="6" s="1"/>
  <c r="B119" i="6" a="1"/>
  <c r="B119" i="6" s="1"/>
  <c r="B41" i="6" a="1"/>
  <c r="B41" i="6" s="1"/>
  <c r="A50" i="6" a="1"/>
  <c r="A50" i="6" s="1"/>
  <c r="A60" i="6" a="1"/>
  <c r="A60" i="6" s="1"/>
  <c r="A71" i="6" a="1"/>
  <c r="A71" i="6" s="1"/>
  <c r="A82" i="6" a="1"/>
  <c r="A82" i="6" s="1"/>
  <c r="A94" i="6" a="1"/>
  <c r="A94" i="6" s="1"/>
  <c r="A106" i="6" a="1"/>
  <c r="A106" i="6" s="1"/>
  <c r="A118" i="6" a="1"/>
  <c r="A118" i="6" s="1"/>
  <c r="A130" i="6" a="1"/>
  <c r="A130" i="6" s="1"/>
  <c r="B51" i="6" a="1"/>
  <c r="B51" i="6" s="1"/>
  <c r="B61" i="6" a="1"/>
  <c r="B61" i="6" s="1"/>
  <c r="B72" i="6" a="1"/>
  <c r="B72" i="6" s="1"/>
  <c r="B84" i="6" a="1"/>
  <c r="B84" i="6" s="1"/>
  <c r="B96" i="6" a="1"/>
  <c r="B96" i="6" s="1"/>
  <c r="B108" i="6" a="1"/>
  <c r="B108" i="6" s="1"/>
  <c r="B120" i="6" a="1"/>
  <c r="B120" i="6" s="1"/>
  <c r="A51" i="6" a="1"/>
  <c r="A51" i="6" s="1"/>
  <c r="A61" i="6" a="1"/>
  <c r="A61" i="6" s="1"/>
  <c r="A83" i="6" a="1"/>
  <c r="A83" i="6" s="1"/>
  <c r="A95" i="6" a="1"/>
  <c r="A95" i="6" s="1"/>
  <c r="A107" i="6" a="1"/>
  <c r="A107" i="6" s="1"/>
  <c r="A119" i="6" a="1"/>
  <c r="A119" i="6" s="1"/>
  <c r="A41" i="6" a="1"/>
  <c r="A41" i="6" s="1"/>
  <c r="B52" i="6" a="1"/>
  <c r="B52" i="6" s="1"/>
  <c r="B62" i="6" a="1"/>
  <c r="B62" i="6" s="1"/>
  <c r="B73" i="6" a="1"/>
  <c r="B73" i="6" s="1"/>
  <c r="B85" i="6" a="1"/>
  <c r="B85" i="6" s="1"/>
  <c r="B97" i="6" a="1"/>
  <c r="B97" i="6" s="1"/>
  <c r="B109" i="6" a="1"/>
  <c r="B109" i="6" s="1"/>
  <c r="B121" i="6" a="1"/>
  <c r="B121" i="6" s="1"/>
  <c r="A52" i="6" a="1"/>
  <c r="A52" i="6" s="1"/>
  <c r="A62" i="6" a="1"/>
  <c r="A62" i="6" s="1"/>
  <c r="A72" i="6" a="1"/>
  <c r="A72" i="6" s="1"/>
  <c r="A84" i="6" a="1"/>
  <c r="A84" i="6" s="1"/>
  <c r="A96" i="6" a="1"/>
  <c r="A96" i="6" s="1"/>
  <c r="A108" i="6" a="1"/>
  <c r="A108" i="6" s="1"/>
  <c r="A120" i="6" a="1"/>
  <c r="A120" i="6" s="1"/>
  <c r="B42" i="6" a="1"/>
  <c r="B42" i="6" s="1"/>
  <c r="B53" i="6" a="1"/>
  <c r="B53" i="6" s="1"/>
  <c r="B63" i="6" a="1"/>
  <c r="B63" i="6" s="1"/>
  <c r="B74" i="6" a="1"/>
  <c r="B74" i="6" s="1"/>
  <c r="B86" i="6" a="1"/>
  <c r="B86" i="6" s="1"/>
  <c r="B98" i="6" a="1"/>
  <c r="B98" i="6" s="1"/>
  <c r="B110" i="6" a="1"/>
  <c r="B110" i="6" s="1"/>
  <c r="B122" i="6" a="1"/>
  <c r="B122" i="6" s="1"/>
  <c r="B9" i="6" a="1"/>
  <c r="B9" i="6" s="1"/>
  <c r="B21" i="6" a="1"/>
  <c r="B21" i="6" s="1"/>
  <c r="B33" i="6" a="1"/>
  <c r="B33" i="6" s="1"/>
  <c r="B10" i="6" a="1"/>
  <c r="B10" i="6" s="1"/>
  <c r="B22" i="6" a="1"/>
  <c r="B22" i="6" s="1"/>
  <c r="B34" i="6" a="1"/>
  <c r="B34" i="6" s="1"/>
  <c r="B11" i="6" a="1"/>
  <c r="B11" i="6" s="1"/>
  <c r="B23" i="6" a="1"/>
  <c r="B23" i="6" s="1"/>
  <c r="B35" i="6" a="1"/>
  <c r="B35" i="6" s="1"/>
  <c r="B12" i="6" a="1"/>
  <c r="B12" i="6" s="1"/>
  <c r="B24" i="6" a="1"/>
  <c r="B24" i="6" s="1"/>
  <c r="B36" i="6" a="1"/>
  <c r="B36" i="6" s="1"/>
  <c r="B32" i="6" a="1"/>
  <c r="B32" i="6" s="1"/>
  <c r="B13" i="6" a="1"/>
  <c r="B13" i="6" s="1"/>
  <c r="B25" i="6" a="1"/>
  <c r="B25" i="6" s="1"/>
  <c r="B37" i="6" a="1"/>
  <c r="B37" i="6" s="1"/>
  <c r="B14" i="6" a="1"/>
  <c r="B14" i="6" s="1"/>
  <c r="B26" i="6" a="1"/>
  <c r="B26" i="6" s="1"/>
  <c r="B38" i="6" a="1"/>
  <c r="B38" i="6" s="1"/>
  <c r="B15" i="6" a="1"/>
  <c r="B15" i="6" s="1"/>
  <c r="B27" i="6" a="1"/>
  <c r="B27" i="6" s="1"/>
  <c r="B39" i="6" a="1"/>
  <c r="B39" i="6" s="1"/>
  <c r="B16" i="6" a="1"/>
  <c r="B16" i="6" s="1"/>
  <c r="B28" i="6" a="1"/>
  <c r="B28" i="6" s="1"/>
  <c r="B8" i="6" a="1"/>
  <c r="B8" i="6" s="1"/>
  <c r="B20" i="6" a="1"/>
  <c r="B20" i="6" s="1"/>
  <c r="B17" i="6" a="1"/>
  <c r="B17" i="6" s="1"/>
  <c r="B29" i="6" a="1"/>
  <c r="B29" i="6" s="1"/>
  <c r="B31" i="6" a="1"/>
  <c r="B31" i="6" s="1"/>
  <c r="B18" i="6" a="1"/>
  <c r="B18" i="6" s="1"/>
  <c r="B30" i="6" a="1"/>
  <c r="B30" i="6" s="1"/>
  <c r="B19" i="6" a="1"/>
  <c r="B19" i="6" s="1"/>
  <c r="D9" i="6" a="1"/>
  <c r="D9" i="6" s="1"/>
  <c r="D10" i="6" a="1"/>
  <c r="D10" i="6" s="1"/>
  <c r="D31" i="6" a="1"/>
  <c r="D31" i="6" s="1"/>
  <c r="D11" i="6" a="1"/>
  <c r="D11" i="6" s="1"/>
  <c r="D32" i="6" a="1"/>
  <c r="D32" i="6" s="1"/>
  <c r="D12" i="6" a="1"/>
  <c r="D12" i="6" s="1"/>
  <c r="D13" i="6" a="1"/>
  <c r="D13" i="6" s="1"/>
  <c r="D33" i="6" a="1"/>
  <c r="D33" i="6" s="1"/>
  <c r="D14" i="6" a="1"/>
  <c r="D14" i="6" s="1"/>
  <c r="D24" i="6" a="1"/>
  <c r="D24" i="6" s="1"/>
  <c r="D34" i="6" a="1"/>
  <c r="D34" i="6" s="1"/>
  <c r="D25" i="6" a="1"/>
  <c r="D25" i="6" s="1"/>
  <c r="D35" i="6" a="1"/>
  <c r="D35" i="6" s="1"/>
  <c r="D26" i="6" a="1"/>
  <c r="D26" i="6" s="1"/>
  <c r="D36" i="6" a="1"/>
  <c r="D36" i="6" s="1"/>
  <c r="D37" i="6" a="1"/>
  <c r="D37" i="6" s="1"/>
  <c r="D27" i="6" a="1"/>
  <c r="D27" i="6" s="1"/>
  <c r="D38" i="6" a="1"/>
  <c r="D38" i="6" s="1"/>
  <c r="D28" i="6" a="1"/>
  <c r="D28" i="6" s="1"/>
  <c r="D39" i="6" a="1"/>
  <c r="D39" i="6" s="1"/>
  <c r="D29" i="6" a="1"/>
  <c r="D29" i="6" s="1"/>
  <c r="D30" i="6" a="1"/>
  <c r="D30" i="6" s="1"/>
  <c r="D8" i="6" a="1"/>
  <c r="D8" i="6" s="1"/>
  <c r="A20" i="6" a="1"/>
  <c r="A20" i="6" s="1"/>
  <c r="A31" i="6" a="1"/>
  <c r="A31" i="6" s="1"/>
  <c r="A9" i="6" a="1"/>
  <c r="A9" i="6" s="1"/>
  <c r="A21" i="6" a="1"/>
  <c r="A21" i="6" s="1"/>
  <c r="A32" i="6" a="1"/>
  <c r="A32" i="6" s="1"/>
  <c r="A10" i="6" a="1"/>
  <c r="A10" i="6" s="1"/>
  <c r="A22" i="6" a="1"/>
  <c r="A22" i="6" s="1"/>
  <c r="A33" i="6" a="1"/>
  <c r="A33" i="6" s="1"/>
  <c r="A11" i="6" a="1"/>
  <c r="A11" i="6" s="1"/>
  <c r="A23" i="6" a="1"/>
  <c r="A23" i="6" s="1"/>
  <c r="A34" i="6" a="1"/>
  <c r="A34" i="6" s="1"/>
  <c r="A12" i="6" a="1"/>
  <c r="A12" i="6" s="1"/>
  <c r="A24" i="6" a="1"/>
  <c r="A24" i="6" s="1"/>
  <c r="A35" i="6" a="1"/>
  <c r="A35" i="6" s="1"/>
  <c r="A13" i="6" a="1"/>
  <c r="A13" i="6" s="1"/>
  <c r="A25" i="6" a="1"/>
  <c r="A25" i="6" s="1"/>
  <c r="A36" i="6" a="1"/>
  <c r="A36" i="6" s="1"/>
  <c r="A14" i="6" a="1"/>
  <c r="A14" i="6" s="1"/>
  <c r="A26" i="6" a="1"/>
  <c r="A26" i="6" s="1"/>
  <c r="A37" i="6" a="1"/>
  <c r="A37" i="6" s="1"/>
  <c r="A15" i="6" a="1"/>
  <c r="A15" i="6" s="1"/>
  <c r="A38" i="6" a="1"/>
  <c r="A38" i="6" s="1"/>
  <c r="C40" i="6" s="1"/>
  <c r="A19" i="6" a="1"/>
  <c r="A19" i="6" s="1"/>
  <c r="A16" i="6" a="1"/>
  <c r="A16" i="6" s="1"/>
  <c r="A27" i="6" a="1"/>
  <c r="A27" i="6" s="1"/>
  <c r="A30" i="6" a="1"/>
  <c r="A30" i="6" s="1"/>
  <c r="A17" i="6" a="1"/>
  <c r="A17" i="6" s="1"/>
  <c r="A28" i="6" a="1"/>
  <c r="A28" i="6" s="1"/>
  <c r="A39" i="6" a="1"/>
  <c r="A39" i="6" s="1"/>
  <c r="A18" i="6" a="1"/>
  <c r="A18" i="6" s="1"/>
  <c r="A29" i="6" a="1"/>
  <c r="A29" i="6" s="1"/>
  <c r="A8" i="6" a="1"/>
  <c r="A8" i="6" s="1"/>
  <c r="T108" i="3"/>
  <c r="T109" i="3" s="1"/>
  <c r="C30" i="6" s="1"/>
  <c r="AB11" i="6" s="1"/>
  <c r="W108" i="3"/>
  <c r="W109" i="3" s="1"/>
  <c r="C33" i="6" s="1"/>
  <c r="Z16" i="6" s="1"/>
  <c r="Z108" i="3"/>
  <c r="Z109" i="3" s="1"/>
  <c r="C36" i="6" s="1"/>
  <c r="X21" i="6" s="1"/>
  <c r="Q108" i="3"/>
  <c r="Q109" i="3" s="1"/>
  <c r="V108" i="3"/>
  <c r="V109" i="3" s="1"/>
  <c r="C32" i="6" s="1"/>
  <c r="X16" i="6" s="1"/>
  <c r="X108" i="3"/>
  <c r="X109" i="3" s="1"/>
  <c r="C34" i="6" s="1"/>
  <c r="AB16" i="6" s="1"/>
  <c r="R108" i="3"/>
  <c r="R109" i="3" s="1"/>
  <c r="U108" i="3"/>
  <c r="U109" i="3" s="1"/>
  <c r="C31" i="6" s="1"/>
  <c r="U16" i="6" s="1"/>
  <c r="S108" i="3"/>
  <c r="S109" i="3" s="1"/>
  <c r="Y108" i="3"/>
  <c r="Y109" i="3" s="1"/>
  <c r="C35" i="6" s="1"/>
  <c r="U21" i="6" s="1"/>
  <c r="C29" i="6" l="1"/>
  <c r="R8" i="6"/>
  <c r="S8" i="6" s="1"/>
  <c r="AB4" i="6" s="1"/>
  <c r="R5" i="6"/>
  <c r="S5" i="6" s="1"/>
  <c r="V4" i="6" s="1"/>
  <c r="C28" i="6"/>
  <c r="C27" i="6"/>
  <c r="R7" i="6"/>
  <c r="S7" i="6" s="1"/>
  <c r="Z4" i="6" s="1"/>
  <c r="R6" i="6"/>
  <c r="S6" i="6" s="1"/>
  <c r="X4" i="6" s="1"/>
  <c r="C38" i="6" l="1"/>
  <c r="X5" i="6" s="1"/>
  <c r="Z11" i="6"/>
  <c r="C37" i="6"/>
  <c r="U5" i="6" s="1"/>
  <c r="U11" i="6"/>
  <c r="X11" i="6"/>
  <c r="C39" i="6"/>
  <c r="AA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Gidarim</author>
  </authors>
  <commentList>
    <comment ref="K8" authorId="0" shapeId="0" xr:uid="{0EF47442-A4AE-4752-B757-B82198A939D9}">
      <text>
        <r>
          <rPr>
            <b/>
            <sz val="14"/>
            <color indexed="81"/>
            <rFont val="돋움"/>
            <family val="3"/>
            <charset val="129"/>
          </rPr>
          <t>지 +3 / 내 +1</t>
        </r>
      </text>
    </comment>
    <comment ref="L8" authorId="0" shapeId="0" xr:uid="{EFC2863C-8B16-4F8F-A823-8C87C5FADAD2}">
      <text>
        <r>
          <rPr>
            <b/>
            <sz val="14"/>
            <color indexed="81"/>
            <rFont val="맑은 고딕"/>
            <family val="3"/>
            <charset val="129"/>
          </rPr>
          <t>무+3 / 내+1</t>
        </r>
      </text>
    </comment>
    <comment ref="M8" authorId="0" shapeId="0" xr:uid="{F51B17AE-15D8-4EE7-8C4C-C487632BC79D}">
      <text>
        <r>
          <rPr>
            <b/>
            <sz val="9"/>
            <color indexed="81"/>
            <rFont val="돋움"/>
            <family val="3"/>
            <charset val="129"/>
          </rPr>
          <t>내력</t>
        </r>
        <r>
          <rPr>
            <b/>
            <sz val="9"/>
            <color indexed="81"/>
            <rFont val="Tahoma"/>
            <family val="2"/>
          </rPr>
          <t>+2/</t>
        </r>
        <r>
          <rPr>
            <b/>
            <sz val="9"/>
            <color indexed="81"/>
            <rFont val="돋움"/>
            <family val="3"/>
            <charset val="129"/>
          </rPr>
          <t>체력</t>
        </r>
        <r>
          <rPr>
            <b/>
            <sz val="9"/>
            <color indexed="81"/>
            <rFont val="Tahoma"/>
            <family val="2"/>
          </rPr>
          <t>+2</t>
        </r>
      </text>
    </comment>
    <comment ref="N8" authorId="0" shapeId="0" xr:uid="{AEFB6938-3072-46AC-81CA-839B4276A78A}">
      <text>
        <r>
          <rPr>
            <b/>
            <sz val="9"/>
            <color indexed="81"/>
            <rFont val="돋움"/>
            <family val="3"/>
            <charset val="129"/>
          </rPr>
          <t>무력</t>
        </r>
        <r>
          <rPr>
            <b/>
            <sz val="9"/>
            <color indexed="81"/>
            <rFont val="Tahoma"/>
            <family val="2"/>
          </rPr>
          <t>+1/</t>
        </r>
        <r>
          <rPr>
            <b/>
            <sz val="9"/>
            <color indexed="81"/>
            <rFont val="돋움"/>
            <family val="3"/>
            <charset val="129"/>
          </rPr>
          <t>체력</t>
        </r>
        <r>
          <rPr>
            <b/>
            <sz val="9"/>
            <color indexed="81"/>
            <rFont val="Tahoma"/>
            <family val="2"/>
          </rPr>
          <t>+2</t>
        </r>
      </text>
    </comment>
    <comment ref="O8" authorId="0" shapeId="0" xr:uid="{9AF90A0F-ABEA-4A78-AB46-19A5A034B7E7}">
      <text>
        <r>
          <rPr>
            <b/>
            <sz val="9"/>
            <color indexed="81"/>
            <rFont val="돋움"/>
            <family val="3"/>
            <charset val="129"/>
          </rPr>
          <t>지력</t>
        </r>
        <r>
          <rPr>
            <b/>
            <sz val="9"/>
            <color indexed="81"/>
            <rFont val="Tahoma"/>
            <family val="2"/>
          </rPr>
          <t>+2/</t>
        </r>
        <r>
          <rPr>
            <b/>
            <sz val="9"/>
            <color indexed="81"/>
            <rFont val="돋움"/>
            <family val="3"/>
            <charset val="129"/>
          </rPr>
          <t>체력</t>
        </r>
        <r>
          <rPr>
            <b/>
            <sz val="9"/>
            <color indexed="81"/>
            <rFont val="Tahoma"/>
            <family val="2"/>
          </rPr>
          <t>+4</t>
        </r>
      </text>
    </comment>
    <comment ref="P8" authorId="0" shapeId="0" xr:uid="{BDBB4B12-CA2F-4BB0-A035-56761EBFF06D}">
      <text>
        <r>
          <rPr>
            <b/>
            <sz val="9"/>
            <color indexed="81"/>
            <rFont val="돋움"/>
            <family val="3"/>
            <charset val="129"/>
          </rPr>
          <t>지력</t>
        </r>
        <r>
          <rPr>
            <b/>
            <sz val="9"/>
            <color indexed="81"/>
            <rFont val="Tahoma"/>
            <family val="2"/>
          </rPr>
          <t>+1/</t>
        </r>
        <r>
          <rPr>
            <b/>
            <sz val="9"/>
            <color indexed="81"/>
            <rFont val="돋움"/>
            <family val="3"/>
            <charset val="129"/>
          </rPr>
          <t>내력</t>
        </r>
        <r>
          <rPr>
            <b/>
            <sz val="9"/>
            <color indexed="81"/>
            <rFont val="Tahoma"/>
            <family val="2"/>
          </rPr>
          <t>+5</t>
        </r>
      </text>
    </comment>
    <comment ref="S8" authorId="0" shapeId="0" xr:uid="{AED8C318-839B-4EDA-B444-0AC5CE2BE36F}">
      <text>
        <r>
          <rPr>
            <b/>
            <sz val="9"/>
            <color indexed="81"/>
            <rFont val="돋움"/>
            <family val="3"/>
            <charset val="129"/>
          </rPr>
          <t>무력</t>
        </r>
        <r>
          <rPr>
            <b/>
            <sz val="9"/>
            <color indexed="81"/>
            <rFont val="Tahoma"/>
            <family val="2"/>
          </rPr>
          <t xml:space="preserve">+1 / </t>
        </r>
        <r>
          <rPr>
            <b/>
            <sz val="9"/>
            <color indexed="81"/>
            <rFont val="돋움"/>
            <family val="3"/>
            <charset val="129"/>
          </rPr>
          <t>체력</t>
        </r>
        <r>
          <rPr>
            <b/>
            <sz val="9"/>
            <color indexed="81"/>
            <rFont val="Tahoma"/>
            <family val="2"/>
          </rPr>
          <t>+2</t>
        </r>
      </text>
    </comment>
    <comment ref="T8" authorId="0" shapeId="0" xr:uid="{37FAB5ED-C38F-46F9-96BC-11056D6F6EE6}">
      <text>
        <r>
          <rPr>
            <b/>
            <sz val="9"/>
            <color indexed="81"/>
            <rFont val="돋움"/>
            <family val="3"/>
            <charset val="129"/>
          </rPr>
          <t>내력</t>
        </r>
        <r>
          <rPr>
            <b/>
            <sz val="9"/>
            <color indexed="81"/>
            <rFont val="Tahoma"/>
            <family val="2"/>
          </rPr>
          <t xml:space="preserve">+2 / </t>
        </r>
        <r>
          <rPr>
            <b/>
            <sz val="9"/>
            <color indexed="81"/>
            <rFont val="돋움"/>
            <family val="3"/>
            <charset val="129"/>
          </rPr>
          <t>체력</t>
        </r>
        <r>
          <rPr>
            <b/>
            <sz val="9"/>
            <color indexed="81"/>
            <rFont val="Tahoma"/>
            <family val="2"/>
          </rPr>
          <t>+1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70146C-A4BC-410C-91D7-07252C2BE018}" keepAlive="1" name="쿼리 - 표1" description="통합 문서의 '표1' 쿼리에 대한 연결입니다." type="5" refreshedVersion="8" background="1" saveData="1">
    <dbPr connection="Provider=Microsoft.Mashup.OleDb.1;Data Source=$Workbook$;Location=표1;Extended Properties=&quot;&quot;" command="SELECT * FROM [표1]"/>
  </connection>
</connections>
</file>

<file path=xl/sharedStrings.xml><?xml version="1.0" encoding="utf-8"?>
<sst xmlns="http://schemas.openxmlformats.org/spreadsheetml/2006/main" count="7282" uniqueCount="963">
  <si>
    <t>속성</t>
    <phoneticPr fontId="4" type="noConversion"/>
  </si>
  <si>
    <t>등급</t>
    <phoneticPr fontId="4" type="noConversion"/>
  </si>
  <si>
    <t>책이름</t>
    <phoneticPr fontId="4" type="noConversion"/>
  </si>
  <si>
    <t>조건</t>
    <phoneticPr fontId="4" type="noConversion"/>
  </si>
  <si>
    <t>수치</t>
    <phoneticPr fontId="4" type="noConversion"/>
  </si>
  <si>
    <t>☆</t>
    <phoneticPr fontId="4" type="noConversion"/>
  </si>
  <si>
    <t>★</t>
    <phoneticPr fontId="4" type="noConversion"/>
  </si>
  <si>
    <t>★★</t>
    <phoneticPr fontId="4" type="noConversion"/>
  </si>
  <si>
    <t>★★★</t>
    <phoneticPr fontId="4" type="noConversion"/>
  </si>
  <si>
    <t>★★★★</t>
    <phoneticPr fontId="4" type="noConversion"/>
  </si>
  <si>
    <t>★★★★★</t>
    <phoneticPr fontId="4" type="noConversion"/>
  </si>
  <si>
    <t>물</t>
    <phoneticPr fontId="4" type="noConversion"/>
  </si>
  <si>
    <t>명서</t>
    <phoneticPr fontId="4" type="noConversion"/>
  </si>
  <si>
    <t>전국책</t>
    <phoneticPr fontId="4" type="noConversion"/>
  </si>
  <si>
    <t>무력</t>
    <phoneticPr fontId="4" type="noConversion"/>
  </si>
  <si>
    <t>장군+40 / 군사+30</t>
    <phoneticPr fontId="4" type="noConversion"/>
  </si>
  <si>
    <t>장군+60 / 군사+45</t>
    <phoneticPr fontId="4" type="noConversion"/>
  </si>
  <si>
    <t>맹덕신서</t>
    <phoneticPr fontId="4" type="noConversion"/>
  </si>
  <si>
    <t>무력+지력</t>
    <phoneticPr fontId="4" type="noConversion"/>
  </si>
  <si>
    <t>장군+40 / 통솔자+30 / 교사+20</t>
    <phoneticPr fontId="4" type="noConversion"/>
  </si>
  <si>
    <t>장군+60 / 통솔자+45 / 교사+30</t>
    <phoneticPr fontId="4" type="noConversion"/>
  </si>
  <si>
    <t>지력</t>
    <phoneticPr fontId="4" type="noConversion"/>
  </si>
  <si>
    <t>군사+40 / 상인+30</t>
    <phoneticPr fontId="4" type="noConversion"/>
  </si>
  <si>
    <t>군사+60 / 상인+45</t>
    <phoneticPr fontId="4" type="noConversion"/>
  </si>
  <si>
    <t>동관한기</t>
    <phoneticPr fontId="4" type="noConversion"/>
  </si>
  <si>
    <t>군사+40 / 요리사+30</t>
    <phoneticPr fontId="4" type="noConversion"/>
  </si>
  <si>
    <t>군사+60 / 요리사+45</t>
    <phoneticPr fontId="4" type="noConversion"/>
  </si>
  <si>
    <t>한서</t>
    <phoneticPr fontId="4" type="noConversion"/>
  </si>
  <si>
    <t>통솔자+40 / 군사+20 / 교사+20</t>
    <phoneticPr fontId="4" type="noConversion"/>
  </si>
  <si>
    <t>통솔자+60 / 군사+30 / 교사+30</t>
    <phoneticPr fontId="4" type="noConversion"/>
  </si>
  <si>
    <t>체력</t>
    <phoneticPr fontId="4" type="noConversion"/>
  </si>
  <si>
    <t>장군+40 / 대장장이+20</t>
    <phoneticPr fontId="4" type="noConversion"/>
  </si>
  <si>
    <t>장군+60 / 대장장이+30</t>
    <phoneticPr fontId="4" type="noConversion"/>
  </si>
  <si>
    <t>박물지</t>
    <phoneticPr fontId="4" type="noConversion"/>
  </si>
  <si>
    <t>고급</t>
    <phoneticPr fontId="4" type="noConversion"/>
  </si>
  <si>
    <t>10만개의왜</t>
    <phoneticPr fontId="4" type="noConversion"/>
  </si>
  <si>
    <t>교사+30 / 장군+15</t>
    <phoneticPr fontId="4" type="noConversion"/>
  </si>
  <si>
    <t>교사+40 / 장군+20</t>
    <phoneticPr fontId="4" type="noConversion"/>
  </si>
  <si>
    <t>혀끝의삼국</t>
    <phoneticPr fontId="4" type="noConversion"/>
  </si>
  <si>
    <t>요리사+50 / 통솔자+25</t>
    <phoneticPr fontId="4" type="noConversion"/>
  </si>
  <si>
    <t>요리사+60 / 통솔자+30</t>
    <phoneticPr fontId="4" type="noConversion"/>
  </si>
  <si>
    <t>일반</t>
    <phoneticPr fontId="4" type="noConversion"/>
  </si>
  <si>
    <t>정말배고픈거야</t>
    <phoneticPr fontId="4" type="noConversion"/>
  </si>
  <si>
    <t>x</t>
    <phoneticPr fontId="4" type="noConversion"/>
  </si>
  <si>
    <t>구구단외우기</t>
    <phoneticPr fontId="4" type="noConversion"/>
  </si>
  <si>
    <t>9세트체조</t>
    <phoneticPr fontId="4" type="noConversion"/>
  </si>
  <si>
    <t>기초</t>
    <phoneticPr fontId="4" type="noConversion"/>
  </si>
  <si>
    <t>금메달요리사</t>
    <phoneticPr fontId="4" type="noConversion"/>
  </si>
  <si>
    <t>나무</t>
    <phoneticPr fontId="4" type="noConversion"/>
  </si>
  <si>
    <t>손빈병법</t>
    <phoneticPr fontId="4" type="noConversion"/>
  </si>
  <si>
    <t>통솔자+40 / 장군+20 / 군사+20</t>
    <phoneticPr fontId="4" type="noConversion"/>
  </si>
  <si>
    <t>통솔자+60 / 장군+30 / 군사+30</t>
    <phoneticPr fontId="4" type="noConversion"/>
  </si>
  <si>
    <t>출사표</t>
    <phoneticPr fontId="4" type="noConversion"/>
  </si>
  <si>
    <t>군사+40 / 장군+30</t>
    <phoneticPr fontId="4" type="noConversion"/>
  </si>
  <si>
    <t>군사+60 / 장군+45</t>
    <phoneticPr fontId="4" type="noConversion"/>
  </si>
  <si>
    <t>육도</t>
    <phoneticPr fontId="4" type="noConversion"/>
  </si>
  <si>
    <t>통솔자+60 / 상인+30</t>
    <phoneticPr fontId="4" type="noConversion"/>
  </si>
  <si>
    <t>통솔자+90 / 상인+45</t>
    <phoneticPr fontId="4" type="noConversion"/>
  </si>
  <si>
    <t>삼략</t>
    <phoneticPr fontId="4" type="noConversion"/>
  </si>
  <si>
    <t>장군+40 / 군사+20 / 보안관+20</t>
    <phoneticPr fontId="4" type="noConversion"/>
  </si>
  <si>
    <t>장군+60 / 군사+30 / 보안관+30</t>
    <phoneticPr fontId="4" type="noConversion"/>
  </si>
  <si>
    <t>오자</t>
    <phoneticPr fontId="4" type="noConversion"/>
  </si>
  <si>
    <t>장군+40 / 대장장+30</t>
    <phoneticPr fontId="4" type="noConversion"/>
  </si>
  <si>
    <t>장군+60 / 대장장+45</t>
    <phoneticPr fontId="4" type="noConversion"/>
  </si>
  <si>
    <t>사마법</t>
    <phoneticPr fontId="4" type="noConversion"/>
  </si>
  <si>
    <t>장군+40 / 일꾼+30</t>
    <phoneticPr fontId="4" type="noConversion"/>
  </si>
  <si>
    <t>장군+60 / 일꾼+45</t>
    <phoneticPr fontId="4" type="noConversion"/>
  </si>
  <si>
    <t>울료자</t>
    <phoneticPr fontId="4" type="noConversion"/>
  </si>
  <si>
    <t>장군+40 / 농부+20</t>
    <phoneticPr fontId="4" type="noConversion"/>
  </si>
  <si>
    <t>장군+60 / 농부+30</t>
    <phoneticPr fontId="4" type="noConversion"/>
  </si>
  <si>
    <t>통솔자+40 / 장군+20 / 보안관+20</t>
    <phoneticPr fontId="4" type="noConversion"/>
  </si>
  <si>
    <t>통솔자+60 / 장군+30 / 보안관+30</t>
    <phoneticPr fontId="4" type="noConversion"/>
  </si>
  <si>
    <t>백전기략</t>
    <phoneticPr fontId="4" type="noConversion"/>
  </si>
  <si>
    <t>기효신서</t>
    <phoneticPr fontId="4" type="noConversion"/>
  </si>
  <si>
    <t>강철은이렇게단련되었지</t>
    <phoneticPr fontId="4" type="noConversion"/>
  </si>
  <si>
    <t>대장장이+30 / 장군+15</t>
    <phoneticPr fontId="4" type="noConversion"/>
  </si>
  <si>
    <t>대장장이+40 / 장군+20</t>
    <phoneticPr fontId="4" type="noConversion"/>
  </si>
  <si>
    <t>40년의시행착오줄이기</t>
    <phoneticPr fontId="4" type="noConversion"/>
  </si>
  <si>
    <t>보안관+30 / 통솔자+15</t>
    <phoneticPr fontId="4" type="noConversion"/>
  </si>
  <si>
    <t>보안관+40 / 통솔자+20</t>
    <phoneticPr fontId="4" type="noConversion"/>
  </si>
  <si>
    <t>누가강한가</t>
    <phoneticPr fontId="4" type="noConversion"/>
  </si>
  <si>
    <t>곤권18식</t>
    <phoneticPr fontId="4" type="noConversion"/>
  </si>
  <si>
    <t>친구의비밀</t>
    <phoneticPr fontId="4" type="noConversion"/>
  </si>
  <si>
    <t>불</t>
    <phoneticPr fontId="4" type="noConversion"/>
  </si>
  <si>
    <t>후한서</t>
    <phoneticPr fontId="4" type="noConversion"/>
  </si>
  <si>
    <t>통솔자+60 / 보안관+30</t>
    <phoneticPr fontId="4" type="noConversion"/>
  </si>
  <si>
    <t>춘추</t>
    <phoneticPr fontId="4" type="noConversion"/>
  </si>
  <si>
    <t>군사+40 / 장군+30 / 농부+20</t>
    <phoneticPr fontId="4" type="noConversion"/>
  </si>
  <si>
    <t>군사+60 / 장군+45 / 농부+30</t>
    <phoneticPr fontId="4" type="noConversion"/>
  </si>
  <si>
    <t>시경</t>
    <phoneticPr fontId="4" type="noConversion"/>
  </si>
  <si>
    <t>내력</t>
    <phoneticPr fontId="4" type="noConversion"/>
  </si>
  <si>
    <t>통솔자+60 / 군사+20</t>
    <phoneticPr fontId="4" type="noConversion"/>
  </si>
  <si>
    <t xml:space="preserve"> </t>
    <phoneticPr fontId="4" type="noConversion"/>
  </si>
  <si>
    <t>통솔자+90 / 군사+30</t>
    <phoneticPr fontId="4" type="noConversion"/>
  </si>
  <si>
    <t>도덕경</t>
    <phoneticPr fontId="4" type="noConversion"/>
  </si>
  <si>
    <t>군사+60 / 장군+20</t>
    <phoneticPr fontId="4" type="noConversion"/>
  </si>
  <si>
    <t>군사+90 / 장군+30</t>
    <phoneticPr fontId="4" type="noConversion"/>
  </si>
  <si>
    <t>묵자</t>
    <phoneticPr fontId="4" type="noConversion"/>
  </si>
  <si>
    <t>통솔자+40 / 장군+30</t>
    <phoneticPr fontId="4" type="noConversion"/>
  </si>
  <si>
    <t>통솔자+60 / 장군+45</t>
    <phoneticPr fontId="4" type="noConversion"/>
  </si>
  <si>
    <t>초사</t>
    <phoneticPr fontId="4" type="noConversion"/>
  </si>
  <si>
    <t>군사+40 / 상인+20</t>
    <phoneticPr fontId="4" type="noConversion"/>
  </si>
  <si>
    <t>군사+60 / 상인+30</t>
    <phoneticPr fontId="4" type="noConversion"/>
  </si>
  <si>
    <t>무력+지력+여장수</t>
    <phoneticPr fontId="4" type="noConversion"/>
  </si>
  <si>
    <t>천문도</t>
    <phoneticPr fontId="4" type="noConversion"/>
  </si>
  <si>
    <t>장군+40 / 군사+20</t>
    <phoneticPr fontId="4" type="noConversion"/>
  </si>
  <si>
    <t>장군+60 / 군사+30</t>
    <phoneticPr fontId="4" type="noConversion"/>
  </si>
  <si>
    <t>회남자</t>
    <phoneticPr fontId="4" type="noConversion"/>
  </si>
  <si>
    <t>마을의희망</t>
    <phoneticPr fontId="4" type="noConversion"/>
  </si>
  <si>
    <t>농부+30 / 장군+15</t>
    <phoneticPr fontId="4" type="noConversion"/>
  </si>
  <si>
    <t>고등수학</t>
    <phoneticPr fontId="4" type="noConversion"/>
  </si>
  <si>
    <t>교사+40 / 군사+30</t>
    <phoneticPr fontId="4" type="noConversion"/>
  </si>
  <si>
    <t>비료레시피</t>
    <phoneticPr fontId="4" type="noConversion"/>
  </si>
  <si>
    <t>어미돼지출산후케어</t>
    <phoneticPr fontId="4" type="noConversion"/>
  </si>
  <si>
    <t>광석</t>
    <phoneticPr fontId="4" type="noConversion"/>
  </si>
  <si>
    <t>천공개물</t>
    <phoneticPr fontId="4" type="noConversion"/>
  </si>
  <si>
    <t>장군+40 / 군사+30 / 대장장이+20</t>
    <phoneticPr fontId="4" type="noConversion"/>
  </si>
  <si>
    <t>장군+60 / 군사+45 / 대장장이+30</t>
    <phoneticPr fontId="4" type="noConversion"/>
  </si>
  <si>
    <t>제민요술</t>
    <phoneticPr fontId="4" type="noConversion"/>
  </si>
  <si>
    <t>장군+40 / 통솔자+20 / 농부+20</t>
    <phoneticPr fontId="4" type="noConversion"/>
  </si>
  <si>
    <t>장군+60 / 통솔자+30 / 농부+30</t>
    <phoneticPr fontId="4" type="noConversion"/>
  </si>
  <si>
    <t>주역</t>
    <phoneticPr fontId="4" type="noConversion"/>
  </si>
  <si>
    <t>장군+60 / 통솔자+20</t>
    <phoneticPr fontId="4" type="noConversion"/>
  </si>
  <si>
    <t>장군+90 / 통솔자+30</t>
    <phoneticPr fontId="4" type="noConversion"/>
  </si>
  <si>
    <t>예기</t>
    <phoneticPr fontId="4" type="noConversion"/>
  </si>
  <si>
    <t>군사+40 / 통솔자+20 / 상인+20</t>
    <phoneticPr fontId="4" type="noConversion"/>
  </si>
  <si>
    <t>군사+60 / 통솔자+30 / 상인+30</t>
    <phoneticPr fontId="4" type="noConversion"/>
  </si>
  <si>
    <t>상한론</t>
    <phoneticPr fontId="4" type="noConversion"/>
  </si>
  <si>
    <t>군사+40 / 요리사+20</t>
    <phoneticPr fontId="4" type="noConversion"/>
  </si>
  <si>
    <t>군사+60 / 요리사+30</t>
    <phoneticPr fontId="4" type="noConversion"/>
  </si>
  <si>
    <t>몽계필담</t>
    <phoneticPr fontId="4" type="noConversion"/>
  </si>
  <si>
    <t>통솔자+40 / 장군+20 / 일꾼+20</t>
    <phoneticPr fontId="4" type="noConversion"/>
  </si>
  <si>
    <t>통솔자+60 / 장군+30 / 일꾼+30</t>
    <phoneticPr fontId="4" type="noConversion"/>
  </si>
  <si>
    <t>고공기</t>
    <phoneticPr fontId="4" type="noConversion"/>
  </si>
  <si>
    <t>중년통신록</t>
    <phoneticPr fontId="4" type="noConversion"/>
  </si>
  <si>
    <t>상인+50 / 군사+25</t>
    <phoneticPr fontId="4" type="noConversion"/>
  </si>
  <si>
    <t>상인+60 / 군사+30</t>
    <phoneticPr fontId="4" type="noConversion"/>
  </si>
  <si>
    <t>원소주기율표</t>
    <phoneticPr fontId="4" type="noConversion"/>
  </si>
  <si>
    <t>일꾼+30 / 통솔자+15</t>
    <phoneticPr fontId="4" type="noConversion"/>
  </si>
  <si>
    <t>일꾼+40 / 통솔자+20</t>
    <phoneticPr fontId="4" type="noConversion"/>
  </si>
  <si>
    <t>어디가비싸요?</t>
    <phoneticPr fontId="4" type="noConversion"/>
  </si>
  <si>
    <t>대박비법노트</t>
    <phoneticPr fontId="4" type="noConversion"/>
  </si>
  <si>
    <t>선택받은알바</t>
    <phoneticPr fontId="4" type="noConversion"/>
  </si>
  <si>
    <t>무력up</t>
    <phoneticPr fontId="4" type="noConversion"/>
  </si>
  <si>
    <t>지력up</t>
    <phoneticPr fontId="4" type="noConversion"/>
  </si>
  <si>
    <t>내력up</t>
    <phoneticPr fontId="4" type="noConversion"/>
  </si>
  <si>
    <t>체력up</t>
    <phoneticPr fontId="4" type="noConversion"/>
  </si>
  <si>
    <t>군사</t>
    <phoneticPr fontId="4" type="noConversion"/>
  </si>
  <si>
    <t>장군</t>
    <phoneticPr fontId="4" type="noConversion"/>
  </si>
  <si>
    <t>통솔자</t>
    <phoneticPr fontId="4" type="noConversion"/>
  </si>
  <si>
    <t>농부</t>
    <phoneticPr fontId="4" type="noConversion"/>
  </si>
  <si>
    <t>상인</t>
    <phoneticPr fontId="4" type="noConversion"/>
  </si>
  <si>
    <t>대장장이</t>
    <phoneticPr fontId="4" type="noConversion"/>
  </si>
  <si>
    <t>교사</t>
    <phoneticPr fontId="4" type="noConversion"/>
  </si>
  <si>
    <t>일꾼</t>
    <phoneticPr fontId="4" type="noConversion"/>
  </si>
  <si>
    <t>보안관</t>
    <phoneticPr fontId="4" type="noConversion"/>
  </si>
  <si>
    <t>내 책 등급</t>
    <phoneticPr fontId="3" type="noConversion"/>
  </si>
  <si>
    <t>장군</t>
    <phoneticPr fontId="3" type="noConversion"/>
  </si>
  <si>
    <t>군사</t>
    <phoneticPr fontId="3" type="noConversion"/>
  </si>
  <si>
    <t>통솔자</t>
    <phoneticPr fontId="3" type="noConversion"/>
  </si>
  <si>
    <t>농부</t>
    <phoneticPr fontId="3" type="noConversion"/>
  </si>
  <si>
    <t>요리사</t>
    <phoneticPr fontId="3" type="noConversion"/>
  </si>
  <si>
    <t>상인</t>
    <phoneticPr fontId="3" type="noConversion"/>
  </si>
  <si>
    <t>대장장이</t>
    <phoneticPr fontId="3" type="noConversion"/>
  </si>
  <si>
    <t>교사</t>
    <phoneticPr fontId="3" type="noConversion"/>
  </si>
  <si>
    <t>일꾼</t>
    <phoneticPr fontId="3" type="noConversion"/>
  </si>
  <si>
    <t>보안관</t>
    <phoneticPr fontId="3" type="noConversion"/>
  </si>
  <si>
    <t>통솔자+90 / 보안관+45</t>
    <phoneticPr fontId="4" type="noConversion"/>
  </si>
  <si>
    <t>농부+40 / 장군+20</t>
    <phoneticPr fontId="4" type="noConversion"/>
  </si>
  <si>
    <t>교사+30 / 군사+25</t>
    <phoneticPr fontId="4" type="noConversion"/>
  </si>
  <si>
    <t>합계</t>
    <phoneticPr fontId="4" type="noConversion"/>
  </si>
  <si>
    <t>예상 레벨</t>
    <phoneticPr fontId="4" type="noConversion"/>
  </si>
  <si>
    <t>성별</t>
    <phoneticPr fontId="3" type="noConversion"/>
  </si>
  <si>
    <t>무력</t>
    <phoneticPr fontId="3" type="noConversion"/>
  </si>
  <si>
    <t>장수 능력치 입력</t>
    <phoneticPr fontId="3" type="noConversion"/>
  </si>
  <si>
    <t>지력</t>
    <phoneticPr fontId="3" type="noConversion"/>
  </si>
  <si>
    <t>내력</t>
    <phoneticPr fontId="3" type="noConversion"/>
  </si>
  <si>
    <t>체력</t>
    <phoneticPr fontId="3" type="noConversion"/>
  </si>
  <si>
    <t>적용여부</t>
    <phoneticPr fontId="3" type="noConversion"/>
  </si>
  <si>
    <t>설문해자</t>
    <phoneticPr fontId="3" type="noConversion"/>
  </si>
  <si>
    <t>이아</t>
    <phoneticPr fontId="3" type="noConversion"/>
  </si>
  <si>
    <t>무경총요</t>
    <phoneticPr fontId="3" type="noConversion"/>
  </si>
  <si>
    <t>호잠경</t>
    <phoneticPr fontId="3" type="noConversion"/>
  </si>
  <si>
    <t>한비자</t>
    <phoneticPr fontId="3" type="noConversion"/>
  </si>
  <si>
    <t>상군서</t>
    <phoneticPr fontId="3" type="noConversion"/>
  </si>
  <si>
    <t>포박자</t>
    <phoneticPr fontId="3" type="noConversion"/>
  </si>
  <si>
    <t>신농백초경</t>
    <phoneticPr fontId="3" type="noConversion"/>
  </si>
  <si>
    <t>염철론</t>
    <phoneticPr fontId="4" type="noConversion"/>
  </si>
  <si>
    <t>지력+오나라</t>
    <phoneticPr fontId="3" type="noConversion"/>
  </si>
  <si>
    <t>지력+군웅</t>
    <phoneticPr fontId="3" type="noConversion"/>
  </si>
  <si>
    <t>무력+위나라</t>
    <phoneticPr fontId="3" type="noConversion"/>
  </si>
  <si>
    <t>장군+40 / 군사+30</t>
    <phoneticPr fontId="4" type="noConversion"/>
  </si>
  <si>
    <t>장군+60 / 군사+45</t>
    <phoneticPr fontId="4" type="noConversion"/>
  </si>
  <si>
    <t>군사+40 / 장군+30</t>
    <phoneticPr fontId="4" type="noConversion"/>
  </si>
  <si>
    <t>군사+60 / 장군+45</t>
    <phoneticPr fontId="4" type="noConversion"/>
  </si>
  <si>
    <t>군사+40 / 요리사+20</t>
    <phoneticPr fontId="4" type="noConversion"/>
  </si>
  <si>
    <t>군사+60 / 요리사+30</t>
    <phoneticPr fontId="4" type="noConversion"/>
  </si>
  <si>
    <t>지력</t>
    <phoneticPr fontId="3" type="noConversion"/>
  </si>
  <si>
    <t>군사+40 / 통솔자+20 / 상인+20</t>
  </si>
  <si>
    <t>군사+60 / 통솔자+30 / 상인+30</t>
  </si>
  <si>
    <t>무력</t>
    <phoneticPr fontId="3" type="noConversion"/>
  </si>
  <si>
    <t>장군+40 / 통솔+20 / 대장장이+20</t>
    <phoneticPr fontId="4" type="noConversion"/>
  </si>
  <si>
    <t>장군+60 / 통솔+30 / 대장장이+30</t>
    <phoneticPr fontId="4" type="noConversion"/>
  </si>
  <si>
    <t>무력+지력</t>
    <phoneticPr fontId="3" type="noConversion"/>
  </si>
  <si>
    <t>군사+40 / 일꾼+20</t>
    <phoneticPr fontId="4" type="noConversion"/>
  </si>
  <si>
    <t>군사+60 / 일꾼+30</t>
    <phoneticPr fontId="4" type="noConversion"/>
  </si>
  <si>
    <t>구장산술</t>
    <phoneticPr fontId="4" type="noConversion"/>
  </si>
  <si>
    <t>통솔자+40 / 농부+20</t>
    <phoneticPr fontId="4" type="noConversion"/>
  </si>
  <si>
    <t>통솔자+60 / 농부+30</t>
    <phoneticPr fontId="4" type="noConversion"/>
  </si>
  <si>
    <t>지력+여장수</t>
    <phoneticPr fontId="3" type="noConversion"/>
  </si>
  <si>
    <t>상서</t>
    <phoneticPr fontId="4" type="noConversion"/>
  </si>
  <si>
    <t>중용</t>
    <phoneticPr fontId="4" type="noConversion"/>
  </si>
  <si>
    <t>낙신부</t>
    <phoneticPr fontId="4" type="noConversion"/>
  </si>
  <si>
    <t>장원</t>
    <phoneticPr fontId="4" type="noConversion"/>
  </si>
  <si>
    <t>대학'</t>
    <phoneticPr fontId="4" type="noConversion"/>
  </si>
  <si>
    <t>무비지</t>
    <phoneticPr fontId="3" type="noConversion"/>
  </si>
  <si>
    <t>옥대신영</t>
    <phoneticPr fontId="3" type="noConversion"/>
  </si>
  <si>
    <t>설원</t>
    <phoneticPr fontId="3" type="noConversion"/>
  </si>
  <si>
    <t>수성록</t>
    <phoneticPr fontId="3" type="noConversion"/>
  </si>
  <si>
    <t>문심조룡</t>
    <phoneticPr fontId="3" type="noConversion"/>
  </si>
  <si>
    <t>태극도설</t>
    <phoneticPr fontId="3" type="noConversion"/>
  </si>
  <si>
    <t>수경주</t>
    <phoneticPr fontId="3" type="noConversion"/>
  </si>
  <si>
    <t>천금요방</t>
    <phoneticPr fontId="3" type="noConversion"/>
  </si>
  <si>
    <t>공양전</t>
    <phoneticPr fontId="3" type="noConversion"/>
  </si>
  <si>
    <t>지력</t>
    <phoneticPr fontId="3" type="noConversion"/>
  </si>
  <si>
    <t>군사+40 / 통솔자+20 / 요리사+20</t>
    <phoneticPr fontId="3" type="noConversion"/>
  </si>
  <si>
    <t>군사+60 / 통솔자+30 / 요리사+30</t>
    <phoneticPr fontId="3" type="noConversion"/>
  </si>
  <si>
    <t>군사+40 / 장군+20</t>
    <phoneticPr fontId="4" type="noConversion"/>
  </si>
  <si>
    <t>군사+60 / 장군+30</t>
    <phoneticPr fontId="4" type="noConversion"/>
  </si>
  <si>
    <t>무력+지력</t>
    <phoneticPr fontId="3" type="noConversion"/>
  </si>
  <si>
    <t>장군+40 / 상인+20</t>
    <phoneticPr fontId="4" type="noConversion"/>
  </si>
  <si>
    <t>장군+60 / 상인+30</t>
    <phoneticPr fontId="4" type="noConversion"/>
  </si>
  <si>
    <t>지력+여장수</t>
    <phoneticPr fontId="4" type="noConversion"/>
  </si>
  <si>
    <t>군사+40 / 통솔자+30</t>
    <phoneticPr fontId="4" type="noConversion"/>
  </si>
  <si>
    <t>군사+60 / 통솔자+45</t>
    <phoneticPr fontId="4" type="noConversion"/>
  </si>
  <si>
    <t>체력+위나라</t>
    <phoneticPr fontId="3" type="noConversion"/>
  </si>
  <si>
    <t>통솔자+40 / 보안관+30</t>
    <phoneticPr fontId="4" type="noConversion"/>
  </si>
  <si>
    <t>통솔자+60 / 보안관+45</t>
    <phoneticPr fontId="4" type="noConversion"/>
  </si>
  <si>
    <t>오</t>
    <phoneticPr fontId="3" type="noConversion"/>
  </si>
  <si>
    <t>군사+40 / 상인+20</t>
    <phoneticPr fontId="3" type="noConversion"/>
  </si>
  <si>
    <t>군사+60 / 상인+30</t>
    <phoneticPr fontId="3" type="noConversion"/>
  </si>
  <si>
    <t>장군+60 / 통솔자+30 / 일꾼+30</t>
    <phoneticPr fontId="3" type="noConversion"/>
  </si>
  <si>
    <t>이름</t>
    <phoneticPr fontId="3" type="noConversion"/>
  </si>
  <si>
    <t>위</t>
    <phoneticPr fontId="3" type="noConversion"/>
  </si>
  <si>
    <t>No</t>
    <phoneticPr fontId="12" type="noConversion"/>
  </si>
  <si>
    <t>나라</t>
    <phoneticPr fontId="12" type="noConversion"/>
  </si>
  <si>
    <t>명장</t>
    <phoneticPr fontId="12" type="noConversion"/>
  </si>
  <si>
    <t>분노</t>
    <phoneticPr fontId="12" type="noConversion"/>
  </si>
  <si>
    <t>일반공격</t>
    <phoneticPr fontId="12" type="noConversion"/>
  </si>
  <si>
    <t>열1</t>
  </si>
  <si>
    <t>추격
조건</t>
    <phoneticPr fontId="12" type="noConversion"/>
  </si>
  <si>
    <t>추격후
상태</t>
    <phoneticPr fontId="12" type="noConversion"/>
  </si>
  <si>
    <t>패시브</t>
    <phoneticPr fontId="12" type="noConversion"/>
  </si>
  <si>
    <t>지원</t>
    <phoneticPr fontId="12" type="noConversion"/>
  </si>
  <si>
    <t>무력</t>
    <phoneticPr fontId="12" type="noConversion"/>
  </si>
  <si>
    <t>지력</t>
    <phoneticPr fontId="12" type="noConversion"/>
  </si>
  <si>
    <t>내력</t>
    <phoneticPr fontId="12" type="noConversion"/>
  </si>
  <si>
    <t>체력</t>
    <phoneticPr fontId="12" type="noConversion"/>
  </si>
  <si>
    <t>촉명장</t>
    <phoneticPr fontId="12" type="noConversion"/>
  </si>
  <si>
    <t>장비</t>
    <phoneticPr fontId="12" type="noConversion"/>
  </si>
  <si>
    <t>띄우기</t>
  </si>
  <si>
    <t>넉다운</t>
  </si>
  <si>
    <t>넉다운</t>
    <phoneticPr fontId="12" type="noConversion"/>
  </si>
  <si>
    <t>격퇴</t>
    <phoneticPr fontId="12" type="noConversion"/>
  </si>
  <si>
    <t>반격</t>
    <phoneticPr fontId="12" type="noConversion"/>
  </si>
  <si>
    <t>아군 장군 반격</t>
    <phoneticPr fontId="12" type="noConversion"/>
  </si>
  <si>
    <t>관우</t>
    <phoneticPr fontId="12" type="noConversion"/>
  </si>
  <si>
    <t>비룡재천</t>
    <phoneticPr fontId="12" type="noConversion"/>
  </si>
  <si>
    <t>조운</t>
    <phoneticPr fontId="12" type="noConversion"/>
  </si>
  <si>
    <t>경직시 3초 회피</t>
    <phoneticPr fontId="12" type="noConversion"/>
  </si>
  <si>
    <t>아군 장군 모두에게 적용</t>
    <phoneticPr fontId="12" type="noConversion"/>
  </si>
  <si>
    <t>유비</t>
    <phoneticPr fontId="12" type="noConversion"/>
  </si>
  <si>
    <t>격퇴</t>
  </si>
  <si>
    <t>적군 분노회복 감소</t>
    <phoneticPr fontId="12" type="noConversion"/>
  </si>
  <si>
    <t>촉명장S1</t>
    <phoneticPr fontId="12" type="noConversion"/>
  </si>
  <si>
    <t>제갈량</t>
    <phoneticPr fontId="12" type="noConversion"/>
  </si>
  <si>
    <t>띄우기+힐</t>
    <phoneticPr fontId="12" type="noConversion"/>
  </si>
  <si>
    <t>추격시 아군장군 분노 회복</t>
    <phoneticPr fontId="12" type="noConversion"/>
  </si>
  <si>
    <t>촉명장S2</t>
    <phoneticPr fontId="12" type="noConversion"/>
  </si>
  <si>
    <t>마초</t>
    <phoneticPr fontId="12" type="noConversion"/>
  </si>
  <si>
    <t>격퇴+회피상태</t>
    <phoneticPr fontId="12" type="noConversion"/>
  </si>
  <si>
    <t>방어파괴시 치명타율 증가</t>
    <phoneticPr fontId="12" type="noConversion"/>
  </si>
  <si>
    <t>황충</t>
    <phoneticPr fontId="12" type="noConversion"/>
  </si>
  <si>
    <t>연속사격 및 확률로 화살2발</t>
    <phoneticPr fontId="12" type="noConversion"/>
  </si>
  <si>
    <t>패시브보다 좀더 높은 확률로 화살2발</t>
    <phoneticPr fontId="12" type="noConversion"/>
  </si>
  <si>
    <t>방통</t>
    <phoneticPr fontId="12" type="noConversion"/>
  </si>
  <si>
    <t>연소</t>
    <phoneticPr fontId="12" type="noConversion"/>
  </si>
  <si>
    <t>3회 부활 + HP회복</t>
    <phoneticPr fontId="12" type="noConversion"/>
  </si>
  <si>
    <t>아군 장군 모두에게 적용(단,3회)</t>
    <phoneticPr fontId="12" type="noConversion"/>
  </si>
  <si>
    <t>촉명장S3(문정)</t>
    <phoneticPr fontId="12" type="noConversion"/>
  </si>
  <si>
    <t>황월영</t>
    <phoneticPr fontId="12" type="noConversion"/>
  </si>
  <si>
    <t>추격 시 목표 분노 감소</t>
    <phoneticPr fontId="12" type="noConversion"/>
  </si>
  <si>
    <t>축융</t>
    <phoneticPr fontId="12" type="noConversion"/>
  </si>
  <si>
    <t>적당한 횟수 공격에 작음 범위 피해줌</t>
    <phoneticPr fontId="12" type="noConversion"/>
  </si>
  <si>
    <t>아군 여성장군 모두에게 적용</t>
    <phoneticPr fontId="12" type="noConversion"/>
  </si>
  <si>
    <t>강유</t>
    <phoneticPr fontId="12" type="noConversion"/>
  </si>
  <si>
    <t>전체아군의 
공격+,추격회피, 
공격에방어파괴</t>
    <phoneticPr fontId="12" type="noConversion"/>
  </si>
  <si>
    <t>아군 장군 1명 피해를 적군 2명과 분담</t>
    <phoneticPr fontId="12" type="noConversion"/>
  </si>
  <si>
    <t>법정</t>
    <phoneticPr fontId="12" type="noConversion"/>
  </si>
  <si>
    <t>추격막기</t>
    <phoneticPr fontId="12" type="noConversion"/>
  </si>
  <si>
    <t>피해받으면 분노회복</t>
    <phoneticPr fontId="12" type="noConversion"/>
  </si>
  <si>
    <t>촉장수5성</t>
    <phoneticPr fontId="12" type="noConversion"/>
  </si>
  <si>
    <t>서서</t>
    <phoneticPr fontId="12" type="noConversion"/>
  </si>
  <si>
    <t>-</t>
  </si>
  <si>
    <t>X</t>
  </si>
  <si>
    <t>아군 공격 증가</t>
    <phoneticPr fontId="12" type="noConversion"/>
  </si>
  <si>
    <t>위연</t>
    <phoneticPr fontId="12" type="noConversion"/>
  </si>
  <si>
    <t>HP 50%이상일때 공격 증가</t>
    <phoneticPr fontId="12" type="noConversion"/>
  </si>
  <si>
    <t>아군 전체의 공격 증가</t>
    <phoneticPr fontId="12" type="noConversion"/>
  </si>
  <si>
    <t>맹획</t>
    <phoneticPr fontId="12" type="noConversion"/>
  </si>
  <si>
    <t>공격 증가</t>
    <phoneticPr fontId="12" type="noConversion"/>
  </si>
  <si>
    <t>촉장수4성</t>
    <phoneticPr fontId="12" type="noConversion"/>
  </si>
  <si>
    <t>관평</t>
    <phoneticPr fontId="12" type="noConversion"/>
  </si>
  <si>
    <t>마량</t>
    <phoneticPr fontId="12" type="noConversion"/>
  </si>
  <si>
    <t>촉장수3성</t>
    <phoneticPr fontId="12" type="noConversion"/>
  </si>
  <si>
    <t>요화</t>
    <phoneticPr fontId="12" type="noConversion"/>
  </si>
  <si>
    <t>주창</t>
    <phoneticPr fontId="12" type="noConversion"/>
  </si>
  <si>
    <t>위명장</t>
    <phoneticPr fontId="12" type="noConversion"/>
  </si>
  <si>
    <t>조조</t>
    <phoneticPr fontId="12" type="noConversion"/>
  </si>
  <si>
    <t>위장수 분노회복 속도증가</t>
    <phoneticPr fontId="12" type="noConversion"/>
  </si>
  <si>
    <t>하후돈</t>
    <phoneticPr fontId="12" type="noConversion"/>
  </si>
  <si>
    <t>추격후 분노 증가</t>
    <phoneticPr fontId="12" type="noConversion"/>
  </si>
  <si>
    <t>위명장S1</t>
    <phoneticPr fontId="12" type="noConversion"/>
  </si>
  <si>
    <t>곽가</t>
    <phoneticPr fontId="12" type="noConversion"/>
  </si>
  <si>
    <t>넉다운/공중/격퇴당할때 순간이동</t>
    <phoneticPr fontId="12" type="noConversion"/>
  </si>
  <si>
    <t>넉다운/공중/격퇴당할때 순간이동</t>
  </si>
  <si>
    <t>하후연</t>
    <phoneticPr fontId="12" type="noConversion"/>
  </si>
  <si>
    <t>연속6회 공격후 공격속도 증가</t>
    <phoneticPr fontId="12" type="noConversion"/>
  </si>
  <si>
    <t>아군 장군 공격후 공격속도 2초간 증가</t>
    <phoneticPr fontId="12" type="noConversion"/>
  </si>
  <si>
    <t>허저</t>
    <phoneticPr fontId="12" type="noConversion"/>
  </si>
  <si>
    <t>HP 40%이상일때 치명타율 증가</t>
    <phoneticPr fontId="12" type="noConversion"/>
  </si>
  <si>
    <t>아군 장군의 HP 40% 이상 치명타율 증가</t>
    <phoneticPr fontId="12" type="noConversion"/>
  </si>
  <si>
    <t>위명장S2</t>
    <phoneticPr fontId="12" type="noConversion"/>
  </si>
  <si>
    <t>전위</t>
    <phoneticPr fontId="12" type="noConversion"/>
  </si>
  <si>
    <t>자신의 분노회복 속도 증가</t>
    <phoneticPr fontId="12" type="noConversion"/>
  </si>
  <si>
    <t>장료</t>
    <phoneticPr fontId="12" type="noConversion"/>
  </si>
  <si>
    <t>격퇴+힐</t>
    <phoneticPr fontId="12" type="noConversion"/>
  </si>
  <si>
    <t>분노후 최강체 상태</t>
    <phoneticPr fontId="12" type="noConversion"/>
  </si>
  <si>
    <t>넉다운+毒</t>
  </si>
  <si>
    <t>HP 가장 낮은 아군 최강체</t>
    <phoneticPr fontId="12" type="noConversion"/>
  </si>
  <si>
    <t>위명장S3(문정)</t>
    <phoneticPr fontId="12" type="noConversion"/>
  </si>
  <si>
    <t>견희</t>
    <phoneticPr fontId="12" type="noConversion"/>
  </si>
  <si>
    <t>매혹</t>
    <phoneticPr fontId="12" type="noConversion"/>
  </si>
  <si>
    <t>적당한 공격 후 범위피해 + 중독</t>
    <phoneticPr fontId="12" type="noConversion"/>
  </si>
  <si>
    <t>조인</t>
    <phoneticPr fontId="12" type="noConversion"/>
  </si>
  <si>
    <t>HP가장 낮은 아군 제외 회피 상태</t>
    <phoneticPr fontId="12" type="noConversion"/>
  </si>
  <si>
    <t>사마의</t>
    <phoneticPr fontId="12" type="noConversion"/>
  </si>
  <si>
    <t>자염(불)</t>
    <phoneticPr fontId="12" type="noConversion"/>
  </si>
  <si>
    <t>아군 피해 받으면 자신 분노,HP 회복</t>
    <phoneticPr fontId="12" type="noConversion"/>
  </si>
  <si>
    <t>아군 피해 받으면 자신 HP만 회복</t>
    <phoneticPr fontId="12" type="noConversion"/>
  </si>
  <si>
    <t>등애</t>
    <phoneticPr fontId="12" type="noConversion"/>
  </si>
  <si>
    <t>HP 가장 낮은 아군 HP이전 상태로 회복</t>
    <phoneticPr fontId="12" type="noConversion"/>
  </si>
  <si>
    <t>위명장S4(동탁)</t>
    <phoneticPr fontId="12" type="noConversion"/>
  </si>
  <si>
    <t>각성조조</t>
    <phoneticPr fontId="12" type="noConversion"/>
  </si>
  <si>
    <t>아군분노+HP회복</t>
    <phoneticPr fontId="12" type="noConversion"/>
  </si>
  <si>
    <t>자신 방어파괴시 근처 아군 피해분담</t>
    <phoneticPr fontId="12" type="noConversion"/>
  </si>
  <si>
    <t>각성하우연</t>
    <phoneticPr fontId="12" type="noConversion"/>
  </si>
  <si>
    <t>상어소환+격퇴</t>
    <phoneticPr fontId="12" type="noConversion"/>
  </si>
  <si>
    <t>일반공격이 3발화살, 공격속도 증가</t>
    <phoneticPr fontId="12" type="noConversion"/>
  </si>
  <si>
    <t>아군 전체 추격 스킬 확정 발동</t>
    <phoneticPr fontId="12" type="noConversion"/>
  </si>
  <si>
    <t>위명장S5(축록)</t>
    <phoneticPr fontId="12" type="noConversion"/>
  </si>
  <si>
    <t>각성하후돈</t>
    <phoneticPr fontId="12" type="noConversion"/>
  </si>
  <si>
    <t>각성허저</t>
    <phoneticPr fontId="12" type="noConversion"/>
  </si>
  <si>
    <t>위장수5성</t>
    <phoneticPr fontId="12" type="noConversion"/>
  </si>
  <si>
    <t>장합</t>
    <phoneticPr fontId="12" type="noConversion"/>
  </si>
  <si>
    <t>아군 전체 방어 증가</t>
    <phoneticPr fontId="12" type="noConversion"/>
  </si>
  <si>
    <t>우금</t>
    <phoneticPr fontId="12" type="noConversion"/>
  </si>
  <si>
    <t>서황</t>
    <phoneticPr fontId="12" type="noConversion"/>
  </si>
  <si>
    <t>위장수4성</t>
    <phoneticPr fontId="12" type="noConversion"/>
  </si>
  <si>
    <t>조홍</t>
    <phoneticPr fontId="12" type="noConversion"/>
  </si>
  <si>
    <t>이전</t>
    <phoneticPr fontId="12" type="noConversion"/>
  </si>
  <si>
    <t>위장수3성</t>
    <phoneticPr fontId="12" type="noConversion"/>
  </si>
  <si>
    <t>악진</t>
    <phoneticPr fontId="12" type="noConversion"/>
  </si>
  <si>
    <t>왕랑</t>
    <phoneticPr fontId="12" type="noConversion"/>
  </si>
  <si>
    <t>오명장</t>
    <phoneticPr fontId="12" type="noConversion"/>
  </si>
  <si>
    <t>손책</t>
    <phoneticPr fontId="12" type="noConversion"/>
  </si>
  <si>
    <t>HP 일정 이하 최강체</t>
    <phoneticPr fontId="12" type="noConversion"/>
  </si>
  <si>
    <t>첫번째 아군장군 HP 일정 이하 최강체</t>
    <phoneticPr fontId="12" type="noConversion"/>
  </si>
  <si>
    <t>주유</t>
    <phoneticPr fontId="12" type="noConversion"/>
  </si>
  <si>
    <t>연소시간 연장</t>
    <phoneticPr fontId="12" type="noConversion"/>
  </si>
  <si>
    <t>태사자</t>
    <phoneticPr fontId="12" type="noConversion"/>
  </si>
  <si>
    <t>임의의 피해 받을때 후방으로 구름</t>
    <phoneticPr fontId="12" type="noConversion"/>
  </si>
  <si>
    <t>손견</t>
    <phoneticPr fontId="12" type="noConversion"/>
  </si>
  <si>
    <t>오장군 치명타 증가</t>
    <phoneticPr fontId="12" type="noConversion"/>
  </si>
  <si>
    <t>오명장S1</t>
    <phoneticPr fontId="12" type="noConversion"/>
  </si>
  <si>
    <t>대교</t>
    <phoneticPr fontId="12" type="noConversion"/>
  </si>
  <si>
    <t>힐</t>
    <phoneticPr fontId="12" type="noConversion"/>
  </si>
  <si>
    <t>먼저 죽은 장군 부활</t>
    <phoneticPr fontId="12" type="noConversion"/>
  </si>
  <si>
    <t>소교</t>
    <phoneticPr fontId="12" type="noConversion"/>
  </si>
  <si>
    <t>연소피해 증가</t>
    <phoneticPr fontId="12" type="noConversion"/>
  </si>
  <si>
    <t>오명장S2</t>
    <phoneticPr fontId="12" type="noConversion"/>
  </si>
  <si>
    <t>주태</t>
    <phoneticPr fontId="12" type="noConversion"/>
  </si>
  <si>
    <t>적군포박</t>
    <phoneticPr fontId="12" type="noConversion"/>
  </si>
  <si>
    <t>자신 이 빈사 상태일때 무적</t>
    <phoneticPr fontId="12" type="noConversion"/>
  </si>
  <si>
    <t>아군 장군이 빈사 상태일때 무적</t>
    <phoneticPr fontId="12" type="noConversion"/>
  </si>
  <si>
    <t>HP 낮은 적군 공격시 치명타율증가</t>
    <phoneticPr fontId="12" type="noConversion"/>
  </si>
  <si>
    <t>아군 장군의 HP가 낮을때 치명타율증가</t>
    <phoneticPr fontId="12" type="noConversion"/>
  </si>
  <si>
    <t>손권</t>
    <phoneticPr fontId="12" type="noConversion"/>
  </si>
  <si>
    <t>HP 60%이하, 아군분노+, 적군분노-</t>
    <phoneticPr fontId="12" type="noConversion"/>
  </si>
  <si>
    <t>아군의 총 HP가 50% 이상일때 적용</t>
    <phoneticPr fontId="12" type="noConversion"/>
  </si>
  <si>
    <t>오명장S3(문정)</t>
    <phoneticPr fontId="12" type="noConversion"/>
  </si>
  <si>
    <t>손상향</t>
    <phoneticPr fontId="12" type="noConversion"/>
  </si>
  <si>
    <t>경직된 후 방어 회복</t>
    <phoneticPr fontId="12" type="noConversion"/>
  </si>
  <si>
    <t>HP가 가장 낮은 아군 장군에게 적용</t>
    <phoneticPr fontId="12" type="noConversion"/>
  </si>
  <si>
    <t>여몽</t>
    <phoneticPr fontId="12" type="noConversion"/>
  </si>
  <si>
    <t>피해증가</t>
    <phoneticPr fontId="12" type="noConversion"/>
  </si>
  <si>
    <t>분노후, 전체 아군 회피</t>
    <phoneticPr fontId="12" type="noConversion"/>
  </si>
  <si>
    <t>육손</t>
    <phoneticPr fontId="12" type="noConversion"/>
  </si>
  <si>
    <t>반격기</t>
    <phoneticPr fontId="12" type="noConversion"/>
  </si>
  <si>
    <t>분노스킬 적당한 확률로 재사용</t>
    <phoneticPr fontId="12" type="noConversion"/>
  </si>
  <si>
    <t>오명장S5(축록)</t>
    <phoneticPr fontId="12" type="noConversion"/>
  </si>
  <si>
    <t>각성주유</t>
    <phoneticPr fontId="12" type="noConversion"/>
  </si>
  <si>
    <t>화염보호막</t>
    <phoneticPr fontId="12" type="noConversion"/>
  </si>
  <si>
    <t>연소가 일정확률로 최강체무시</t>
    <phoneticPr fontId="12" type="noConversion"/>
  </si>
  <si>
    <t>각성손권</t>
    <phoneticPr fontId="12" type="noConversion"/>
  </si>
  <si>
    <t>오장수5성</t>
    <phoneticPr fontId="12" type="noConversion"/>
  </si>
  <si>
    <t>황개</t>
    <phoneticPr fontId="12" type="noConversion"/>
  </si>
  <si>
    <t>HP 50% 미만, 방어증가</t>
    <phoneticPr fontId="12" type="noConversion"/>
  </si>
  <si>
    <t>노숙</t>
    <phoneticPr fontId="12" type="noConversion"/>
  </si>
  <si>
    <t>아군 HP 증가</t>
    <phoneticPr fontId="12" type="noConversion"/>
  </si>
  <si>
    <t>능통</t>
    <phoneticPr fontId="12" type="noConversion"/>
  </si>
  <si>
    <t>치명타율 증가</t>
    <phoneticPr fontId="12" type="noConversion"/>
  </si>
  <si>
    <t>아군 지명타율 증가</t>
    <phoneticPr fontId="12" type="noConversion"/>
  </si>
  <si>
    <t>오장수4성</t>
    <phoneticPr fontId="12" type="noConversion"/>
  </si>
  <si>
    <t>정보</t>
    <phoneticPr fontId="12" type="noConversion"/>
  </si>
  <si>
    <t>자신HP회복</t>
    <phoneticPr fontId="12" type="noConversion"/>
  </si>
  <si>
    <t>서성</t>
    <phoneticPr fontId="12" type="noConversion"/>
  </si>
  <si>
    <t>오장수3성</t>
    <phoneticPr fontId="12" type="noConversion"/>
  </si>
  <si>
    <t>주환</t>
    <phoneticPr fontId="12" type="noConversion"/>
  </si>
  <si>
    <t>군웅명장</t>
    <phoneticPr fontId="12" type="noConversion"/>
  </si>
  <si>
    <t>여포</t>
    <phoneticPr fontId="12" type="noConversion"/>
  </si>
  <si>
    <t>적당한 피해받을때 6초 최강체</t>
    <phoneticPr fontId="12" type="noConversion"/>
  </si>
  <si>
    <t>아군 장군 모두 적용, 5초 최강체</t>
    <phoneticPr fontId="12" type="noConversion"/>
  </si>
  <si>
    <t>장각</t>
    <phoneticPr fontId="12" type="noConversion"/>
  </si>
  <si>
    <t>병사소환</t>
    <phoneticPr fontId="12" type="noConversion"/>
  </si>
  <si>
    <t>추가로 2명에게 뇌격</t>
    <phoneticPr fontId="12" type="noConversion"/>
  </si>
  <si>
    <t>동탁</t>
    <phoneticPr fontId="12" type="noConversion"/>
  </si>
  <si>
    <t>HP 50% 미만, HP 증가 1회</t>
    <phoneticPr fontId="12" type="noConversion"/>
  </si>
  <si>
    <t>아군 장군 모두 적용</t>
    <phoneticPr fontId="12" type="noConversion"/>
  </si>
  <si>
    <t>원소</t>
    <phoneticPr fontId="12" type="noConversion"/>
  </si>
  <si>
    <t>HP 30%이상, 전체아군방어증가</t>
    <phoneticPr fontId="12" type="noConversion"/>
  </si>
  <si>
    <t>아군 전체의 HP, 방어 증가</t>
    <phoneticPr fontId="12" type="noConversion"/>
  </si>
  <si>
    <t>군웅명장S1</t>
    <phoneticPr fontId="12" type="noConversion"/>
  </si>
  <si>
    <t>초선</t>
    <phoneticPr fontId="12" type="noConversion"/>
  </si>
  <si>
    <t>적당한 공격에 매혹</t>
    <phoneticPr fontId="12" type="noConversion"/>
  </si>
  <si>
    <t>아군 여성 장군 모두에게 적용</t>
    <phoneticPr fontId="12" type="noConversion"/>
  </si>
  <si>
    <t>가후</t>
    <phoneticPr fontId="12" type="noConversion"/>
  </si>
  <si>
    <t>띄우기+毒</t>
  </si>
  <si>
    <t>중독상태, 적군분노 감소</t>
    <phoneticPr fontId="12" type="noConversion"/>
  </si>
  <si>
    <t>군웅명장S2</t>
    <phoneticPr fontId="12" type="noConversion"/>
  </si>
  <si>
    <t>고순</t>
    <phoneticPr fontId="12" type="noConversion"/>
  </si>
  <si>
    <t>아군 방어 파괴 증가</t>
    <phoneticPr fontId="12" type="noConversion"/>
  </si>
  <si>
    <t>화타</t>
    <phoneticPr fontId="12" type="noConversion"/>
  </si>
  <si>
    <t>힐 조롱박 소환, 부활 및 회복</t>
    <phoneticPr fontId="12" type="noConversion"/>
  </si>
  <si>
    <t>진궁</t>
    <phoneticPr fontId="12" type="noConversion"/>
  </si>
  <si>
    <t>치명타피해 증가, 지력 높으면 반드시 치명타</t>
    <phoneticPr fontId="12" type="noConversion"/>
  </si>
  <si>
    <t>아군 지력이 적군보다 높으면 피해 증가</t>
    <phoneticPr fontId="12" type="noConversion"/>
  </si>
  <si>
    <t>군웅명장S3(문정)</t>
    <phoneticPr fontId="12" type="noConversion"/>
  </si>
  <si>
    <t>채문희</t>
    <phoneticPr fontId="12" type="noConversion"/>
  </si>
  <si>
    <t>구르기 모드 발동(스케이트)</t>
    <phoneticPr fontId="12" type="noConversion"/>
  </si>
  <si>
    <t>전투 진입시 구르기 모드 발동</t>
    <phoneticPr fontId="12" type="noConversion"/>
  </si>
  <si>
    <t>좌자</t>
    <phoneticPr fontId="12" type="noConversion"/>
  </si>
  <si>
    <t>아군피해증가+회피</t>
    <phoneticPr fontId="12" type="noConversion"/>
  </si>
  <si>
    <t>아군 경직시, 방어회복</t>
    <phoneticPr fontId="12" type="noConversion"/>
  </si>
  <si>
    <t>우길</t>
    <phoneticPr fontId="12" type="noConversion"/>
  </si>
  <si>
    <t>랜던변신후분노스킬</t>
    <phoneticPr fontId="12" type="noConversion"/>
  </si>
  <si>
    <t>모두</t>
    <phoneticPr fontId="12" type="noConversion"/>
  </si>
  <si>
    <t>변신에따라</t>
    <phoneticPr fontId="12" type="noConversion"/>
  </si>
  <si>
    <t>변신후 피해 증가</t>
    <phoneticPr fontId="12" type="noConversion"/>
  </si>
  <si>
    <t>군웅명장S4(동탁)</t>
    <phoneticPr fontId="12" type="noConversion"/>
  </si>
  <si>
    <t>각성여포</t>
    <phoneticPr fontId="12" type="noConversion"/>
  </si>
  <si>
    <t>군신모드(피해,범위,속도,증가)</t>
    <phoneticPr fontId="12" type="noConversion"/>
  </si>
  <si>
    <t>격퇴+赤兔</t>
  </si>
  <si>
    <t>적토마 생존 능력 증가</t>
    <phoneticPr fontId="12" type="noConversion"/>
  </si>
  <si>
    <t>분노후, 아군 공격,속도,증가</t>
    <phoneticPr fontId="12" type="noConversion"/>
  </si>
  <si>
    <t>각성동탁</t>
    <phoneticPr fontId="12" type="noConversion"/>
  </si>
  <si>
    <t>군웅 장군 분노 회복 속도 증가</t>
    <phoneticPr fontId="12" type="noConversion"/>
  </si>
  <si>
    <t>각성원소</t>
    <phoneticPr fontId="12" type="noConversion"/>
  </si>
  <si>
    <t>격퇴+중독</t>
    <phoneticPr fontId="12" type="noConversion"/>
  </si>
  <si>
    <t>HP 30%이상 아군 방어 증가</t>
    <phoneticPr fontId="12" type="noConversion"/>
  </si>
  <si>
    <t>아군 HP, 방어 증가</t>
    <phoneticPr fontId="12" type="noConversion"/>
  </si>
  <si>
    <t>각성관우</t>
    <phoneticPr fontId="12" type="noConversion"/>
  </si>
  <si>
    <t>각성초선</t>
    <phoneticPr fontId="12" type="noConversion"/>
  </si>
  <si>
    <t>최고무장추격시</t>
    <phoneticPr fontId="12" type="noConversion"/>
  </si>
  <si>
    <t>무력 높은 장군분노 회복 속도 증가</t>
    <phoneticPr fontId="12" type="noConversion"/>
  </si>
  <si>
    <t>각성장각</t>
    <phoneticPr fontId="12" type="noConversion"/>
  </si>
  <si>
    <t>골렘소환</t>
    <phoneticPr fontId="12" type="noConversion"/>
  </si>
  <si>
    <t>부대전사시, 보충,소집</t>
    <phoneticPr fontId="12" type="noConversion"/>
  </si>
  <si>
    <t>군웅명장S5(축록)</t>
    <phoneticPr fontId="12" type="noConversion"/>
  </si>
  <si>
    <t>각성태사자</t>
    <phoneticPr fontId="12" type="noConversion"/>
  </si>
  <si>
    <t>각성장비</t>
    <phoneticPr fontId="12" type="noConversion"/>
  </si>
  <si>
    <t>각성조운</t>
    <phoneticPr fontId="12" type="noConversion"/>
  </si>
  <si>
    <t>각성유비</t>
    <phoneticPr fontId="12" type="noConversion"/>
  </si>
  <si>
    <t>군웅장수5성</t>
    <phoneticPr fontId="12" type="noConversion"/>
  </si>
  <si>
    <t>안량</t>
    <phoneticPr fontId="12" type="noConversion"/>
  </si>
  <si>
    <t>일반공격, 치명타율증가</t>
    <phoneticPr fontId="12" type="noConversion"/>
  </si>
  <si>
    <t>아군 전체</t>
    <phoneticPr fontId="12" type="noConversion"/>
  </si>
  <si>
    <t>문추</t>
    <phoneticPr fontId="12" type="noConversion"/>
  </si>
  <si>
    <t>사마휘</t>
    <phoneticPr fontId="12" type="noConversion"/>
  </si>
  <si>
    <t>군웅장수4성</t>
    <phoneticPr fontId="12" type="noConversion"/>
  </si>
  <si>
    <t>화웅</t>
    <phoneticPr fontId="12" type="noConversion"/>
  </si>
  <si>
    <t>마등</t>
    <phoneticPr fontId="12" type="noConversion"/>
  </si>
  <si>
    <t>군웅장수3성</t>
    <phoneticPr fontId="12" type="noConversion"/>
  </si>
  <si>
    <t>장량</t>
    <phoneticPr fontId="12" type="noConversion"/>
  </si>
  <si>
    <t>형도영</t>
    <phoneticPr fontId="12" type="noConversion"/>
  </si>
  <si>
    <t>시공명장</t>
    <phoneticPr fontId="12" type="noConversion"/>
  </si>
  <si>
    <t>검협객</t>
    <phoneticPr fontId="12" type="noConversion"/>
  </si>
  <si>
    <t>경직시 순간이동</t>
    <phoneticPr fontId="12" type="noConversion"/>
  </si>
  <si>
    <t>홍길동</t>
    <phoneticPr fontId="12" type="noConversion"/>
  </si>
  <si>
    <t>공격,방어파괴 증가</t>
    <phoneticPr fontId="12" type="noConversion"/>
  </si>
  <si>
    <t>요시츠네</t>
    <phoneticPr fontId="12" type="noConversion"/>
  </si>
  <si>
    <t>분노후 치명타율 분노회복속도 증가</t>
    <phoneticPr fontId="12" type="noConversion"/>
  </si>
  <si>
    <t>분노 스킬후, 전체 아군에게 적용</t>
    <phoneticPr fontId="12" type="noConversion"/>
  </si>
  <si>
    <t>오공</t>
    <phoneticPr fontId="12" type="noConversion"/>
  </si>
  <si>
    <t>공격받을때 매혹효과 부여</t>
    <phoneticPr fontId="12" type="noConversion"/>
  </si>
  <si>
    <t>시공명장S1</t>
    <phoneticPr fontId="12" type="noConversion"/>
  </si>
  <si>
    <t>챠밍킬러</t>
    <phoneticPr fontId="12" type="noConversion"/>
  </si>
  <si>
    <t>일반 공격후, 방어파괴 추가</t>
    <phoneticPr fontId="12" type="noConversion"/>
  </si>
  <si>
    <t>아군 여성 전체</t>
    <phoneticPr fontId="12" type="noConversion"/>
  </si>
  <si>
    <t>팔라딘</t>
    <phoneticPr fontId="12" type="noConversion"/>
  </si>
  <si>
    <t>HP 높은 적군상대 공격증가</t>
    <phoneticPr fontId="12" type="noConversion"/>
  </si>
  <si>
    <t>적군 HP 50%이상 아군 공격증가</t>
    <phoneticPr fontId="12" type="noConversion"/>
  </si>
  <si>
    <t>시공명장(대만)</t>
    <phoneticPr fontId="12" type="noConversion"/>
  </si>
  <si>
    <t>삼태자</t>
    <phoneticPr fontId="12" type="noConversion"/>
  </si>
  <si>
    <t>일반 공격후 연소</t>
    <phoneticPr fontId="12" type="noConversion"/>
  </si>
  <si>
    <t>시공명장(한국)</t>
    <phoneticPr fontId="12" type="noConversion"/>
  </si>
  <si>
    <t>이순신</t>
    <phoneticPr fontId="12" type="noConversion"/>
  </si>
  <si>
    <t>빈사시 회복</t>
    <phoneticPr fontId="12" type="noConversion"/>
  </si>
  <si>
    <t>아군 중 가장 먼저 빈사자 회복</t>
    <phoneticPr fontId="12" type="noConversion"/>
  </si>
  <si>
    <t>시공명장(일본)</t>
    <phoneticPr fontId="12" type="noConversion"/>
  </si>
  <si>
    <t>코드제로</t>
    <phoneticPr fontId="12" type="noConversion"/>
  </si>
  <si>
    <t>전체무적</t>
    <phoneticPr fontId="12" type="noConversion"/>
  </si>
  <si>
    <t>일정 시간후, 회피상태 및 공속 증가</t>
    <phoneticPr fontId="12" type="noConversion"/>
  </si>
  <si>
    <t>무력이 가장 높은 장군에게 적용</t>
    <phoneticPr fontId="12" type="noConversion"/>
  </si>
  <si>
    <t>오다노부나가</t>
    <phoneticPr fontId="12" type="noConversion"/>
  </si>
  <si>
    <t>적장이 많을수록, 피해력 증가</t>
    <phoneticPr fontId="12" type="noConversion"/>
  </si>
  <si>
    <t>사나다유키무라</t>
    <phoneticPr fontId="12" type="noConversion"/>
  </si>
  <si>
    <t>피가 적을수록 피해력 증가</t>
    <phoneticPr fontId="12" type="noConversion"/>
  </si>
  <si>
    <t>전체회피</t>
    <phoneticPr fontId="12" type="noConversion"/>
  </si>
  <si>
    <t>아군 전체 HP회복</t>
    <phoneticPr fontId="12" type="noConversion"/>
  </si>
  <si>
    <t>시공장수5성</t>
    <phoneticPr fontId="12" type="noConversion"/>
  </si>
  <si>
    <t>뒷골목형님</t>
    <phoneticPr fontId="12" type="noConversion"/>
  </si>
  <si>
    <t>자신의 치명타율 증가</t>
    <phoneticPr fontId="12" type="noConversion"/>
  </si>
  <si>
    <t>질서수호자</t>
    <phoneticPr fontId="12" type="noConversion"/>
  </si>
  <si>
    <t>멍멍이소환</t>
    <phoneticPr fontId="12" type="noConversion"/>
  </si>
  <si>
    <t>아군 공격 속도 증가</t>
    <phoneticPr fontId="12" type="noConversion"/>
  </si>
  <si>
    <t>나라2</t>
    <phoneticPr fontId="3" type="noConversion"/>
  </si>
  <si>
    <t>촉</t>
    <phoneticPr fontId="3" type="noConversion"/>
  </si>
  <si>
    <t>제갈근</t>
    <phoneticPr fontId="12" type="noConversion"/>
  </si>
  <si>
    <t>시공</t>
    <phoneticPr fontId="3" type="noConversion"/>
  </si>
  <si>
    <t>요리사</t>
    <phoneticPr fontId="4" type="noConversion"/>
  </si>
  <si>
    <t>확인할 영웅</t>
    <phoneticPr fontId="4" type="noConversion"/>
  </si>
  <si>
    <t>성별</t>
    <phoneticPr fontId="4" type="noConversion"/>
  </si>
  <si>
    <t>나라</t>
    <phoneticPr fontId="4" type="noConversion"/>
  </si>
  <si>
    <t>관우</t>
    <phoneticPr fontId="4" type="noConversion"/>
  </si>
  <si>
    <t>남</t>
    <phoneticPr fontId="4" type="noConversion"/>
  </si>
  <si>
    <t>촉</t>
    <phoneticPr fontId="4" type="noConversion"/>
  </si>
  <si>
    <t>조조</t>
    <phoneticPr fontId="4" type="noConversion"/>
  </si>
  <si>
    <t>위</t>
    <phoneticPr fontId="4" type="noConversion"/>
  </si>
  <si>
    <t>장각</t>
    <phoneticPr fontId="4" type="noConversion"/>
  </si>
  <si>
    <t>군</t>
    <phoneticPr fontId="4" type="noConversion"/>
  </si>
  <si>
    <t>하후연</t>
    <phoneticPr fontId="4" type="noConversion"/>
  </si>
  <si>
    <t>레벨</t>
    <phoneticPr fontId="4" type="noConversion"/>
  </si>
  <si>
    <t>오공</t>
    <phoneticPr fontId="4" type="noConversion"/>
  </si>
  <si>
    <t>시</t>
    <phoneticPr fontId="4" type="noConversion"/>
  </si>
  <si>
    <t>경험치</t>
    <phoneticPr fontId="4" type="noConversion"/>
  </si>
  <si>
    <t>손책</t>
    <phoneticPr fontId="4" type="noConversion"/>
  </si>
  <si>
    <t>오</t>
    <phoneticPr fontId="4" type="noConversion"/>
  </si>
  <si>
    <t>손권</t>
    <phoneticPr fontId="4" type="noConversion"/>
  </si>
  <si>
    <t>유비</t>
    <phoneticPr fontId="4" type="noConversion"/>
  </si>
  <si>
    <t>초선</t>
    <phoneticPr fontId="4" type="noConversion"/>
  </si>
  <si>
    <t>여</t>
    <phoneticPr fontId="4" type="noConversion"/>
  </si>
  <si>
    <t>채문희</t>
    <phoneticPr fontId="4" type="noConversion"/>
  </si>
  <si>
    <t>등애</t>
    <phoneticPr fontId="4" type="noConversion"/>
  </si>
  <si>
    <t>사마의</t>
    <phoneticPr fontId="4" type="noConversion"/>
  </si>
  <si>
    <t>제갈량</t>
    <phoneticPr fontId="4" type="noConversion"/>
  </si>
  <si>
    <t>마초</t>
    <phoneticPr fontId="4" type="noConversion"/>
  </si>
  <si>
    <t>장비</t>
    <phoneticPr fontId="4" type="noConversion"/>
  </si>
  <si>
    <t>전위</t>
    <phoneticPr fontId="4" type="noConversion"/>
  </si>
  <si>
    <t>가후</t>
    <phoneticPr fontId="4" type="noConversion"/>
  </si>
  <si>
    <t>좌자</t>
    <phoneticPr fontId="4" type="noConversion"/>
  </si>
  <si>
    <t>여포</t>
    <phoneticPr fontId="4" type="noConversion"/>
  </si>
  <si>
    <t>순욱</t>
    <phoneticPr fontId="4" type="noConversion"/>
  </si>
  <si>
    <t>태사자</t>
    <phoneticPr fontId="4" type="noConversion"/>
  </si>
  <si>
    <t>고순</t>
    <phoneticPr fontId="4" type="noConversion"/>
  </si>
  <si>
    <t>원소</t>
    <phoneticPr fontId="4" type="noConversion"/>
  </si>
  <si>
    <t>주유</t>
    <phoneticPr fontId="4" type="noConversion"/>
  </si>
  <si>
    <t>강유</t>
    <phoneticPr fontId="4" type="noConversion"/>
  </si>
  <si>
    <t>육손</t>
    <phoneticPr fontId="4" type="noConversion"/>
  </si>
  <si>
    <t>조운</t>
    <phoneticPr fontId="4" type="noConversion"/>
  </si>
  <si>
    <t>곽가</t>
    <phoneticPr fontId="4" type="noConversion"/>
  </si>
  <si>
    <t>동탁</t>
    <phoneticPr fontId="4" type="noConversion"/>
  </si>
  <si>
    <t>손견</t>
    <phoneticPr fontId="4" type="noConversion"/>
  </si>
  <si>
    <t>화타</t>
    <phoneticPr fontId="4" type="noConversion"/>
  </si>
  <si>
    <t>법정</t>
    <phoneticPr fontId="4" type="noConversion"/>
  </si>
  <si>
    <t>진궁</t>
    <phoneticPr fontId="4" type="noConversion"/>
  </si>
  <si>
    <t>소교</t>
    <phoneticPr fontId="4" type="noConversion"/>
  </si>
  <si>
    <t>우길</t>
    <phoneticPr fontId="4" type="noConversion"/>
  </si>
  <si>
    <t>여몽</t>
    <phoneticPr fontId="4" type="noConversion"/>
  </si>
  <si>
    <t>감녕</t>
    <phoneticPr fontId="4" type="noConversion"/>
  </si>
  <si>
    <t>황충</t>
    <phoneticPr fontId="4" type="noConversion"/>
  </si>
  <si>
    <t>손상향</t>
    <phoneticPr fontId="4" type="noConversion"/>
  </si>
  <si>
    <t>하후돈</t>
    <phoneticPr fontId="4" type="noConversion"/>
  </si>
  <si>
    <t>축융</t>
    <phoneticPr fontId="4" type="noConversion"/>
  </si>
  <si>
    <t>장료</t>
    <phoneticPr fontId="4" type="noConversion"/>
  </si>
  <si>
    <t>방통</t>
    <phoneticPr fontId="4" type="noConversion"/>
  </si>
  <si>
    <t>황월영</t>
    <phoneticPr fontId="4" type="noConversion"/>
  </si>
  <si>
    <t>홍길동</t>
    <phoneticPr fontId="4" type="noConversion"/>
  </si>
  <si>
    <t>요시츠네</t>
    <phoneticPr fontId="4" type="noConversion"/>
  </si>
  <si>
    <t>검협객</t>
    <phoneticPr fontId="4" type="noConversion"/>
  </si>
  <si>
    <t>허저</t>
    <phoneticPr fontId="4" type="noConversion"/>
  </si>
  <si>
    <t>대교</t>
    <phoneticPr fontId="4" type="noConversion"/>
  </si>
  <si>
    <t>조인</t>
    <phoneticPr fontId="4" type="noConversion"/>
  </si>
  <si>
    <t>챠밍킬러</t>
    <phoneticPr fontId="4" type="noConversion"/>
  </si>
  <si>
    <t>견희</t>
    <phoneticPr fontId="4" type="noConversion"/>
  </si>
  <si>
    <t>주태</t>
    <phoneticPr fontId="4" type="noConversion"/>
  </si>
  <si>
    <t>서황</t>
    <phoneticPr fontId="4" type="noConversion"/>
  </si>
  <si>
    <t>서서</t>
    <phoneticPr fontId="4" type="noConversion"/>
  </si>
  <si>
    <t>노숙</t>
    <phoneticPr fontId="4" type="noConversion"/>
  </si>
  <si>
    <t>사마휘</t>
    <phoneticPr fontId="4" type="noConversion"/>
  </si>
  <si>
    <t>뒷골목형님</t>
    <phoneticPr fontId="4" type="noConversion"/>
  </si>
  <si>
    <t>위연</t>
    <phoneticPr fontId="4" type="noConversion"/>
  </si>
  <si>
    <t>장합</t>
    <phoneticPr fontId="4" type="noConversion"/>
  </si>
  <si>
    <t>질서수호자</t>
    <phoneticPr fontId="4" type="noConversion"/>
  </si>
  <si>
    <t>안량</t>
    <phoneticPr fontId="4" type="noConversion"/>
  </si>
  <si>
    <t>능통</t>
    <phoneticPr fontId="4" type="noConversion"/>
  </si>
  <si>
    <t>문추</t>
    <phoneticPr fontId="4" type="noConversion"/>
  </si>
  <si>
    <t>맹획</t>
    <phoneticPr fontId="4" type="noConversion"/>
  </si>
  <si>
    <t>우금</t>
    <phoneticPr fontId="4" type="noConversion"/>
  </si>
  <si>
    <t>황개</t>
    <phoneticPr fontId="4" type="noConversion"/>
  </si>
  <si>
    <t>사카모토료마</t>
    <phoneticPr fontId="4" type="noConversion"/>
  </si>
  <si>
    <t>오다노부나가</t>
    <phoneticPr fontId="4" type="noConversion"/>
  </si>
  <si>
    <t>무력단</t>
    <phoneticPr fontId="3" type="noConversion"/>
  </si>
  <si>
    <t>지력단</t>
    <phoneticPr fontId="3" type="noConversion"/>
  </si>
  <si>
    <t>상승포인트</t>
    <phoneticPr fontId="3" type="noConversion"/>
  </si>
  <si>
    <t>체력+촉나라</t>
    <phoneticPr fontId="3" type="noConversion"/>
  </si>
  <si>
    <t>무력 95 / 104 / 111 / 113</t>
    <phoneticPr fontId="3" type="noConversion"/>
  </si>
  <si>
    <t>지력 95 / 104/ 105 / 110</t>
    <phoneticPr fontId="3" type="noConversion"/>
  </si>
  <si>
    <t>조조 무력 94일때 무력단 한 개 먹여 무력 95만들기</t>
    <phoneticPr fontId="3" type="noConversion"/>
  </si>
  <si>
    <t>관우 지력 94일때 지력단 한 개 먹여 지력95만들기</t>
    <phoneticPr fontId="3" type="noConversion"/>
  </si>
  <si>
    <t>군</t>
    <phoneticPr fontId="3" type="noConversion"/>
  </si>
  <si>
    <t>시</t>
    <phoneticPr fontId="3" type="noConversion"/>
  </si>
  <si>
    <t>최종수치</t>
    <phoneticPr fontId="3" type="noConversion"/>
  </si>
  <si>
    <t>대장장이+10 / 대장장이+20</t>
    <phoneticPr fontId="4" type="noConversion"/>
  </si>
  <si>
    <t>1~9레벨 변동값 (수동 입력)</t>
    <phoneticPr fontId="3" type="noConversion"/>
  </si>
  <si>
    <t>배율</t>
    <phoneticPr fontId="3" type="noConversion"/>
  </si>
  <si>
    <t>수동확인</t>
    <phoneticPr fontId="3" type="noConversion"/>
  </si>
  <si>
    <t>수동</t>
    <phoneticPr fontId="3" type="noConversion"/>
  </si>
  <si>
    <t>상인+30 / 상인+40</t>
    <phoneticPr fontId="4" type="noConversion"/>
  </si>
  <si>
    <t>일꾼+20 / 일꾼+30</t>
    <phoneticPr fontId="4" type="noConversion"/>
  </si>
  <si>
    <t>일꾼+10 / 일꾼+20</t>
    <phoneticPr fontId="4" type="noConversion"/>
  </si>
  <si>
    <t>농부+20 / 농부+30</t>
    <phoneticPr fontId="4" type="noConversion"/>
  </si>
  <si>
    <t>농부+10 / 농부+20</t>
    <phoneticPr fontId="4" type="noConversion"/>
  </si>
  <si>
    <t>요리사+30 / 요리사+40</t>
    <phoneticPr fontId="4" type="noConversion"/>
  </si>
  <si>
    <t>교사+20 / 교사+30</t>
    <phoneticPr fontId="4" type="noConversion"/>
  </si>
  <si>
    <t>요리사+10 / 요리사+20</t>
    <phoneticPr fontId="4" type="noConversion"/>
  </si>
  <si>
    <t>대장장이+20 / 대장장이+30</t>
    <phoneticPr fontId="4" type="noConversion"/>
  </si>
  <si>
    <t>보안관+20 / 보안관+30</t>
    <phoneticPr fontId="4" type="noConversion"/>
  </si>
  <si>
    <t>단약적용후</t>
    <phoneticPr fontId="3" type="noConversion"/>
  </si>
  <si>
    <t>1차성장</t>
    <phoneticPr fontId="3" type="noConversion"/>
  </si>
  <si>
    <t>2차성장</t>
  </si>
  <si>
    <t>2차성장</t>
    <phoneticPr fontId="3" type="noConversion"/>
  </si>
  <si>
    <t>나라</t>
    <phoneticPr fontId="3" type="noConversion"/>
  </si>
  <si>
    <t>2차성장결과</t>
    <phoneticPr fontId="3" type="noConversion"/>
  </si>
  <si>
    <t>1차성장결과</t>
    <phoneticPr fontId="3" type="noConversion"/>
  </si>
  <si>
    <t>3차성장결과</t>
    <phoneticPr fontId="3" type="noConversion"/>
  </si>
  <si>
    <t>3차성장</t>
  </si>
  <si>
    <t>3차성장</t>
    <phoneticPr fontId="3" type="noConversion"/>
  </si>
  <si>
    <t>지력+촉나라</t>
    <phoneticPr fontId="3" type="noConversion"/>
  </si>
  <si>
    <t>10레벨 변동값 (자동 입력 &amp; 수동)</t>
    <phoneticPr fontId="3" type="noConversion"/>
  </si>
  <si>
    <t>4차성장결과</t>
    <phoneticPr fontId="3" type="noConversion"/>
  </si>
  <si>
    <t>4차성장</t>
  </si>
  <si>
    <t>4차성장</t>
    <phoneticPr fontId="3" type="noConversion"/>
  </si>
  <si>
    <t>5차성장</t>
  </si>
  <si>
    <t>5차성장</t>
    <phoneticPr fontId="3" type="noConversion"/>
  </si>
  <si>
    <t>5차성장결과</t>
    <phoneticPr fontId="3" type="noConversion"/>
  </si>
  <si>
    <t>+150</t>
    <phoneticPr fontId="3" type="noConversion"/>
  </si>
  <si>
    <t>감녕</t>
    <phoneticPr fontId="12" type="noConversion"/>
  </si>
  <si>
    <t>장군+40 / 통솔자+20 / 일꾼 +20</t>
    <phoneticPr fontId="3" type="noConversion"/>
  </si>
  <si>
    <t>순욱</t>
    <phoneticPr fontId="12" type="noConversion"/>
  </si>
  <si>
    <t>6차성장</t>
    <phoneticPr fontId="3" type="noConversion"/>
  </si>
  <si>
    <t>사카모토료마</t>
    <phoneticPr fontId="12" type="noConversion"/>
  </si>
  <si>
    <t>추천가이드</t>
    <phoneticPr fontId="3" type="noConversion"/>
  </si>
  <si>
    <t>서책이 추가 될 경우, 제작자에게 문의하세요</t>
    <phoneticPr fontId="3" type="noConversion"/>
  </si>
  <si>
    <t>▼ 아래 장수의 이름을 넣으세요</t>
    <phoneticPr fontId="3" type="noConversion"/>
  </si>
  <si>
    <r>
      <t xml:space="preserve">무력/지력 </t>
    </r>
    <r>
      <rPr>
        <b/>
        <sz val="10"/>
        <color rgb="FF1F1F1F"/>
        <rFont val="Arial Unicode MS"/>
        <family val="3"/>
        <charset val="129"/>
      </rPr>
      <t>95</t>
    </r>
    <r>
      <rPr>
        <b/>
        <sz val="13"/>
        <color rgb="FF1F1F1F"/>
        <rFont val="Arial"/>
        <family val="2"/>
      </rPr>
      <t xml:space="preserve"> 구간 (가장 추천하는 1차 커트라인)</t>
    </r>
  </si>
  <si>
    <r>
      <t>이유</t>
    </r>
    <r>
      <rPr>
        <sz val="13"/>
        <color rgb="FF1F1F1F"/>
        <rFont val="Arial"/>
        <family val="2"/>
      </rPr>
      <t xml:space="preserve">: 많은 상위 서책 및 조건(예: 오자, 춘추, 신농복조 등)의 요구치가 </t>
    </r>
    <r>
      <rPr>
        <b/>
        <sz val="13"/>
        <color rgb="FF1F1F1F"/>
        <rFont val="Arial"/>
        <family val="2"/>
      </rPr>
      <t>95</t>
    </r>
    <r>
      <rPr>
        <sz val="13"/>
        <color rgb="FF1F1F1F"/>
        <rFont val="Arial"/>
        <family val="2"/>
      </rPr>
      <t>로 설정되어 있는 경우가 많습니다.</t>
    </r>
  </si>
  <si>
    <r>
      <t xml:space="preserve">원래 능력치가 94인 장수라면 </t>
    </r>
    <r>
      <rPr>
        <b/>
        <sz val="13"/>
        <color rgb="FF1F1F1F"/>
        <rFont val="Arial"/>
        <family val="2"/>
      </rPr>
      <t>단약 1개를 먹여 95를 만드는 것</t>
    </r>
    <r>
      <rPr>
        <sz val="13"/>
        <color rgb="FF1F1F1F"/>
        <rFont val="Arial"/>
        <family val="2"/>
      </rPr>
      <t>이 효율 극대화의 핵심입니다. (예: 관우 지력 94 ➔ 95, 조조 무력 94 ➔ 95 등 게임 내 시뮬레이터 활용 예시와 직결됨)</t>
    </r>
  </si>
  <si>
    <r>
      <t xml:space="preserve">무력/지력 </t>
    </r>
    <r>
      <rPr>
        <b/>
        <sz val="10"/>
        <color rgb="FF1F1F1F"/>
        <rFont val="Arial Unicode MS"/>
        <family val="3"/>
        <charset val="129"/>
      </rPr>
      <t>104 ~ 105</t>
    </r>
    <r>
      <rPr>
        <b/>
        <sz val="13"/>
        <color rgb="FF1F1F1F"/>
        <rFont val="Arial"/>
        <family val="2"/>
      </rPr>
      <t xml:space="preserve"> 구간 (엔드 콘텐츠용 고효율 커트라인)</t>
    </r>
  </si>
  <si>
    <r>
      <t>이유</t>
    </r>
    <r>
      <rPr>
        <sz val="13"/>
        <color rgb="FF1F1F1F"/>
        <rFont val="Arial"/>
        <family val="2"/>
      </rPr>
      <t>: 전국책(무력 104), 육도/출사표(지력 104), 영물론(무력 105) 등 강력한 고등급 서책을 착용하거나 특수 효과를 받기 위한 필수 커트라인입니다.</t>
    </r>
  </si>
  <si>
    <t>성장과 장비 보너스를 끌어모아 이 구간을 넘길 수 있다면 캐릭터의 성능이 급격히 상승합니다.</t>
  </si>
  <si>
    <t>군사+40 / 장군+20 /요리사+20</t>
    <phoneticPr fontId="3" type="noConversion"/>
  </si>
  <si>
    <t>군사+60 / 장군+30 /요리사+30</t>
    <phoneticPr fontId="3" type="noConversion"/>
  </si>
  <si>
    <t>(3) 초선 지력 104 / 단약1개 / 관도까지 책을 다 먹어도 지력 103임</t>
    <phoneticPr fontId="3" type="noConversion"/>
  </si>
  <si>
    <t>(2) 조조 무력 104 / 단약3개 더 추가로 / 관도까지 책 다 먹으면 104됨 / 단약 x</t>
    <phoneticPr fontId="3" type="noConversion"/>
  </si>
  <si>
    <t>(4) 손권 무력 95 / 단약 3개 필요 / 관도까지 책 다 먹으면 94임</t>
    <phoneticPr fontId="3" type="noConversion"/>
  </si>
  <si>
    <t>(5) 동탁 무력 95/ 관도까지 먹어도 94임</t>
    <phoneticPr fontId="3" type="noConversion"/>
  </si>
  <si>
    <t>(6) 육손 무력 95 / 관도까지 먹어도 91</t>
    <phoneticPr fontId="3" type="noConversion"/>
  </si>
  <si>
    <t>(7) 유비 지력 95 / 관도까지 먹어도 92</t>
    <phoneticPr fontId="3" type="noConversion"/>
  </si>
  <si>
    <t>(1) 장료 지력 95 / 단약1개 / 관도까지 다 먹었을 경우 94</t>
    <phoneticPr fontId="3" type="noConversion"/>
  </si>
  <si>
    <t>(8) 원소 무력 104 / 관도까지 먹어도 100</t>
    <phoneticPr fontId="3" type="noConversion"/>
  </si>
  <si>
    <t>(9) 조인 무력 104 / 관도까지 먹어도 102</t>
    <phoneticPr fontId="3" type="noConversion"/>
  </si>
  <si>
    <t>(10) 채문희 지력 104 / 관도까지 먹어도 101</t>
    <phoneticPr fontId="3" type="noConversion"/>
  </si>
  <si>
    <t>(11) 화타 지력 104 / 관도까지 먹어도 101</t>
    <phoneticPr fontId="3" type="noConversion"/>
  </si>
  <si>
    <t>(12) 우길 지력 104 / 관도까지 먹어도 103</t>
    <phoneticPr fontId="3" type="noConversion"/>
  </si>
  <si>
    <r>
      <t>무력</t>
    </r>
    <r>
      <rPr>
        <sz val="11"/>
        <color rgb="FFFF0000"/>
        <rFont val="맑은 고딕"/>
        <family val="3"/>
        <charset val="129"/>
      </rPr>
      <t xml:space="preserve"> 95</t>
    </r>
    <r>
      <rPr>
        <sz val="11"/>
        <color rgb="FF000000"/>
        <rFont val="맑은 고딕"/>
        <family val="3"/>
        <charset val="129"/>
      </rPr>
      <t xml:space="preserve"> / 104 / 111 / 113</t>
    </r>
    <phoneticPr fontId="3" type="noConversion"/>
  </si>
  <si>
    <r>
      <t xml:space="preserve">지력 95 / </t>
    </r>
    <r>
      <rPr>
        <sz val="11"/>
        <color rgb="FFFF0000"/>
        <rFont val="맑은 고딕"/>
        <family val="3"/>
        <charset val="129"/>
      </rPr>
      <t>104</t>
    </r>
    <r>
      <rPr>
        <sz val="11"/>
        <color rgb="FF000000"/>
        <rFont val="맑은 고딕"/>
        <family val="3"/>
        <charset val="129"/>
      </rPr>
      <t xml:space="preserve"> / 110</t>
    </r>
    <phoneticPr fontId="3" type="noConversion"/>
  </si>
  <si>
    <t>HP증가</t>
    <phoneticPr fontId="3" type="noConversion"/>
  </si>
  <si>
    <t>공격증가</t>
    <phoneticPr fontId="3" type="noConversion"/>
  </si>
  <si>
    <t>방어증가</t>
    <phoneticPr fontId="3" type="noConversion"/>
  </si>
  <si>
    <t>병사모집/HP아주조금</t>
    <phoneticPr fontId="3" type="noConversion"/>
  </si>
  <si>
    <t>찜증가/HP아주조금</t>
    <phoneticPr fontId="3" type="noConversion"/>
  </si>
  <si>
    <t>밀수확/방어아주조금</t>
    <phoneticPr fontId="3" type="noConversion"/>
  </si>
  <si>
    <t>주조증가/방어아주조금</t>
    <phoneticPr fontId="3" type="noConversion"/>
  </si>
  <si>
    <t>훈련증가/HP아주조금</t>
    <phoneticPr fontId="3" type="noConversion"/>
  </si>
  <si>
    <t>부품증가/아주조금</t>
    <phoneticPr fontId="3" type="noConversion"/>
  </si>
  <si>
    <t>치안증가/방어아주조금</t>
    <phoneticPr fontId="3" type="noConversion"/>
  </si>
  <si>
    <t>분노+1</t>
    <phoneticPr fontId="3" type="noConversion"/>
  </si>
  <si>
    <t>추격+1</t>
    <phoneticPr fontId="3" type="noConversion"/>
  </si>
  <si>
    <t>평타+1</t>
    <phoneticPr fontId="3" type="noConversion"/>
  </si>
  <si>
    <t>대장부피해+</t>
    <phoneticPr fontId="3" type="noConversion"/>
  </si>
  <si>
    <t>화살피해+</t>
    <phoneticPr fontId="3" type="noConversion"/>
  </si>
  <si>
    <t>보급회복+</t>
    <phoneticPr fontId="3" type="noConversion"/>
  </si>
  <si>
    <t>함정스킬+</t>
    <phoneticPr fontId="3" type="noConversion"/>
  </si>
  <si>
    <t>치명타율+</t>
    <phoneticPr fontId="3" type="noConversion"/>
  </si>
  <si>
    <t>병기폭탄+</t>
    <phoneticPr fontId="3" type="noConversion"/>
  </si>
  <si>
    <t>행군속도+</t>
    <phoneticPr fontId="3" type="noConversion"/>
  </si>
  <si>
    <t>직업스킬 경험치 증가율</t>
    <phoneticPr fontId="3" type="noConversion"/>
  </si>
  <si>
    <t>혹시 매크로 실행 차단이 막혔을때 아래와 같이 진행하세요</t>
    <phoneticPr fontId="3" type="noConversion"/>
  </si>
  <si>
    <t>1) 엑셀 상단 메뉴에서 [파일] &gt; [옵션]으로 들어갑니다.</t>
    <phoneticPr fontId="3" type="noConversion"/>
  </si>
  <si>
    <t>2) [보안 센터 (Trust Center)] 클릭 후 [보안 센터 설정(T)...] 버튼을 누릅니다.</t>
    <phoneticPr fontId="3" type="noConversion"/>
  </si>
  <si>
    <t>3) 왼쪽 메뉴에서 [신뢰할 수 있는 위치 (Trusted Locations)]를 선택합니다.</t>
    <phoneticPr fontId="3" type="noConversion"/>
  </si>
  <si>
    <t>4) [새 위치 추가(A)...]를 눌러, 받은 엑셀 파일을 저장해 둘 폴더(예: 바탕화면의 특정 폴더)를 지정합니다.</t>
    <phoneticPr fontId="3" type="noConversion"/>
  </si>
  <si>
    <t>5) 이 폴더 안에 넣은 엑셀 파일들은 보안 경고 없이 매크로가 즉시 실행됩니다</t>
    <phoneticPr fontId="3" type="noConversion"/>
  </si>
  <si>
    <r>
      <rPr>
        <b/>
        <sz val="11"/>
        <color theme="1"/>
        <rFont val="맑은 고딕"/>
        <family val="3"/>
        <charset val="129"/>
      </rPr>
      <t xml:space="preserve">※ </t>
    </r>
    <r>
      <rPr>
        <b/>
        <sz val="11"/>
        <color theme="1"/>
        <rFont val="맑은 고딕"/>
        <family val="3"/>
        <charset val="129"/>
        <scheme val="minor"/>
      </rPr>
      <t>매크로가 아예 차단된 경우 (Excel 보안 설정이 매우 엄격한 경우)</t>
    </r>
    <phoneticPr fontId="3" type="noConversion"/>
  </si>
  <si>
    <t>매크로 안내</t>
    <phoneticPr fontId="3" type="noConversion"/>
  </si>
  <si>
    <r>
      <t xml:space="preserve">*파일 열었을 때 상단에 노란색 보안 경고 창이 뜨면 </t>
    </r>
    <r>
      <rPr>
        <b/>
        <sz val="11"/>
        <color rgb="FFFF0000"/>
        <rFont val="맑은 고딕"/>
        <family val="3"/>
        <charset val="129"/>
        <scheme val="minor"/>
      </rPr>
      <t xml:space="preserve"> '콘텐츠 사용' </t>
    </r>
    <r>
      <rPr>
        <sz val="11"/>
        <color rgb="FFFF0000"/>
        <rFont val="맑은 고딕"/>
        <family val="2"/>
        <charset val="129"/>
        <scheme val="minor"/>
      </rPr>
      <t>을 눌러주셔야 매크로가 정상 작동합니다!"</t>
    </r>
    <phoneticPr fontId="3" type="noConversion"/>
  </si>
  <si>
    <t>사용방법 안내</t>
    <phoneticPr fontId="3" type="noConversion"/>
  </si>
  <si>
    <t>- 자신이 가지고 있는 서책 레벨을 적습니다</t>
    <phoneticPr fontId="3" type="noConversion"/>
  </si>
  <si>
    <t>- 빨간색 하나면 5, 빨간색 5개면 10레벨입니다</t>
    <phoneticPr fontId="3" type="noConversion"/>
  </si>
  <si>
    <t>1) 자신의 데이터 입력 (서책 레벨)</t>
    <phoneticPr fontId="3" type="noConversion"/>
  </si>
  <si>
    <t>완료</t>
    <phoneticPr fontId="3" type="noConversion"/>
  </si>
  <si>
    <t>이제부터 자신이 원하는 정보를 추출할수 있습니다</t>
    <phoneticPr fontId="3" type="noConversion"/>
  </si>
  <si>
    <t>2) 장수한명씩 보기</t>
    <phoneticPr fontId="3" type="noConversion"/>
  </si>
  <si>
    <t xml:space="preserve">- 필요시 단약에 숫자를 적어보면 업데이트 됩니다. </t>
    <phoneticPr fontId="3" type="noConversion"/>
  </si>
  <si>
    <t>추가단약</t>
    <phoneticPr fontId="3" type="noConversion"/>
  </si>
  <si>
    <t>이미적용된단약</t>
    <phoneticPr fontId="3" type="noConversion"/>
  </si>
  <si>
    <t>▼ 아래 단약을 넣으세요</t>
    <phoneticPr fontId="3" type="noConversion"/>
  </si>
  <si>
    <t>3) 전체 장수 보기 및 단약 내용저장하기</t>
    <phoneticPr fontId="3" type="noConversion"/>
  </si>
  <si>
    <r>
      <t xml:space="preserve">방법) </t>
    </r>
    <r>
      <rPr>
        <b/>
        <sz val="11"/>
        <color rgb="FFFF0000"/>
        <rFont val="맑은 고딕"/>
        <family val="3"/>
        <charset val="129"/>
        <scheme val="minor"/>
      </rPr>
      <t>서책입력 탭 클릭</t>
    </r>
    <r>
      <rPr>
        <b/>
        <sz val="11"/>
        <color theme="1"/>
        <rFont val="맑은 고딕"/>
        <family val="3"/>
        <charset val="129"/>
        <scheme val="minor"/>
      </rPr>
      <t xml:space="preserve"> -&gt; 노란색영역 (서책레벨) 업데이트</t>
    </r>
    <phoneticPr fontId="3" type="noConversion"/>
  </si>
  <si>
    <r>
      <t xml:space="preserve">방법) </t>
    </r>
    <r>
      <rPr>
        <b/>
        <sz val="11"/>
        <color rgb="FFFF0000"/>
        <rFont val="맑은 고딕"/>
        <family val="3"/>
        <charset val="129"/>
        <scheme val="minor"/>
      </rPr>
      <t>성장 시뮬레이터 탭 클릭</t>
    </r>
    <r>
      <rPr>
        <b/>
        <sz val="11"/>
        <color theme="1"/>
        <rFont val="맑은 고딕"/>
        <family val="3"/>
        <charset val="129"/>
        <scheme val="minor"/>
      </rPr>
      <t xml:space="preserve"> -&gt; 노란색영역(명장 이름 기입)</t>
    </r>
    <phoneticPr fontId="3" type="noConversion"/>
  </si>
  <si>
    <t>방법) 최종장수능력치 탭 클릭 -&gt; 노란색 부분 단약먹힌게 있으면 적기 -&gt; ' 아래처럼 생긴' 업데이트 단추 누르기</t>
    <phoneticPr fontId="3" type="noConversion"/>
  </si>
  <si>
    <t>&lt;-이거는 그림입니다.</t>
    <phoneticPr fontId="3" type="noConversion"/>
  </si>
  <si>
    <t>업데이트 필요한 경우</t>
    <phoneticPr fontId="3" type="noConversion"/>
  </si>
  <si>
    <t>1) 일반 명장들이 각성이 나오면 초기능력치가 급상승됩니다</t>
    <phoneticPr fontId="3" type="noConversion"/>
  </si>
  <si>
    <t>예)문추 -&gt;각문추 / 이럴경우 제작자에게 의뢰하여 업데이트해야합니다</t>
    <phoneticPr fontId="3" type="noConversion"/>
  </si>
  <si>
    <t>2) 서책 종류 추가된 경우</t>
    <phoneticPr fontId="3" type="noConversion"/>
  </si>
  <si>
    <t>-현재는 관도까지 책 정보이며, 1권정도 부족합니다. 난세와 적벽 시즌 시작하고 서책 자료가 나오면 업데이트 됩니다</t>
    <phoneticPr fontId="3" type="noConversion"/>
  </si>
  <si>
    <t>3) 영웅들 추가</t>
    <phoneticPr fontId="3" type="noConversion"/>
  </si>
  <si>
    <t>-관은병과 같이 없던 영웅들이 생겼을때 업데이트 해야합니다</t>
    <phoneticPr fontId="3" type="noConversion"/>
  </si>
  <si>
    <t>제작자: LM 물속에퐁당</t>
    <phoneticPr fontId="3" type="noConversion"/>
  </si>
  <si>
    <t>색 영역은 여러 번 체크해서 정보가 확실한 경우입니다</t>
    <phoneticPr fontId="3" type="noConversion"/>
  </si>
  <si>
    <t>옵션up</t>
    <phoneticPr fontId="3" type="noConversion"/>
  </si>
  <si>
    <t>매 5레벨</t>
    <phoneticPr fontId="3" type="noConversion"/>
  </si>
  <si>
    <t>레벨별</t>
    <phoneticPr fontId="3" type="noConversion"/>
  </si>
  <si>
    <t>매 10레벨</t>
    <phoneticPr fontId="3" type="noConversion"/>
  </si>
  <si>
    <t>스킬up</t>
    <phoneticPr fontId="3" type="noConversion"/>
  </si>
  <si>
    <t>종류</t>
    <phoneticPr fontId="4" type="noConversion"/>
  </si>
  <si>
    <t>적용</t>
    <phoneticPr fontId="4" type="noConversion"/>
  </si>
  <si>
    <t/>
  </si>
  <si>
    <t>좌전</t>
    <phoneticPr fontId="3" type="noConversion"/>
  </si>
  <si>
    <t>이위공문대</t>
    <phoneticPr fontId="3" type="noConversion"/>
  </si>
  <si>
    <t>병주유요</t>
    <phoneticPr fontId="3" type="noConversion"/>
  </si>
  <si>
    <t>백호통의</t>
    <phoneticPr fontId="3" type="noConversion"/>
  </si>
  <si>
    <t>근사록</t>
    <phoneticPr fontId="3" type="noConversion"/>
  </si>
  <si>
    <t>농상집요</t>
    <phoneticPr fontId="3" type="noConversion"/>
  </si>
  <si>
    <t>세설신어</t>
    <phoneticPr fontId="3" type="noConversion"/>
  </si>
  <si>
    <t>악부시집</t>
    <phoneticPr fontId="3" type="noConversion"/>
  </si>
  <si>
    <t>신당서</t>
    <phoneticPr fontId="3" type="noConversion"/>
  </si>
  <si>
    <t>악기경</t>
    <phoneticPr fontId="3" type="noConversion"/>
  </si>
  <si>
    <t>병기요결</t>
    <phoneticPr fontId="3" type="noConversion"/>
  </si>
  <si>
    <t>장자</t>
    <phoneticPr fontId="3" type="noConversion"/>
  </si>
  <si>
    <t>관자</t>
    <phoneticPr fontId="3" type="noConversion"/>
  </si>
  <si>
    <t>범승지서</t>
    <phoneticPr fontId="3" type="noConversion"/>
  </si>
  <si>
    <t>영조법식</t>
    <phoneticPr fontId="3" type="noConversion"/>
  </si>
  <si>
    <t>시즌</t>
    <phoneticPr fontId="3" type="noConversion"/>
  </si>
  <si>
    <t>적벽</t>
    <phoneticPr fontId="3" type="noConversion"/>
  </si>
  <si>
    <t>난세</t>
    <phoneticPr fontId="3" type="noConversion"/>
  </si>
  <si>
    <t>관도</t>
    <phoneticPr fontId="3" type="noConversion"/>
  </si>
  <si>
    <t>장군+40 / 통솔자 +20 / 농부 +20</t>
    <phoneticPr fontId="3" type="noConversion"/>
  </si>
  <si>
    <t>장군+60 / 통솔자+30 / 농부+30</t>
    <phoneticPr fontId="3" type="noConversion"/>
  </si>
  <si>
    <t>군사+40 / 장군+30</t>
    <phoneticPr fontId="3" type="noConversion"/>
  </si>
  <si>
    <t>군사+60 / 장군+45</t>
    <phoneticPr fontId="3" type="noConversion"/>
  </si>
  <si>
    <t>장군+40 / 통솔자+30</t>
    <phoneticPr fontId="4" type="noConversion"/>
  </si>
  <si>
    <t>장군+60 / 통솔자+45</t>
    <phoneticPr fontId="3" type="noConversion"/>
  </si>
  <si>
    <t>지력+위나라</t>
    <phoneticPr fontId="3" type="noConversion"/>
  </si>
  <si>
    <t>군사+60 / 요리사+30</t>
    <phoneticPr fontId="3" type="noConversion"/>
  </si>
  <si>
    <t>종횡</t>
    <phoneticPr fontId="3" type="noConversion"/>
  </si>
  <si>
    <t>할거</t>
    <phoneticPr fontId="3" type="noConversion"/>
  </si>
  <si>
    <t>-</t>
    <phoneticPr fontId="3" type="noConversion"/>
  </si>
  <si>
    <t>사용자</t>
    <phoneticPr fontId="4" type="noConversion"/>
  </si>
  <si>
    <t>물속에퐁당</t>
    <phoneticPr fontId="3" type="noConversion"/>
  </si>
  <si>
    <t>사용자</t>
  </si>
  <si>
    <t>사용자</t>
    <phoneticPr fontId="3" type="noConversion"/>
  </si>
  <si>
    <t>물속에퐁당</t>
  </si>
  <si>
    <t>건담</t>
  </si>
  <si>
    <t>건담</t>
    <phoneticPr fontId="3" type="noConversion"/>
  </si>
  <si>
    <t>명장</t>
    <phoneticPr fontId="4" type="noConversion"/>
  </si>
  <si>
    <t>장군+40 / 군사+30</t>
    <phoneticPr fontId="3" type="noConversion"/>
  </si>
  <si>
    <t>체력+군웅</t>
    <phoneticPr fontId="3" type="noConversion"/>
  </si>
  <si>
    <t>무력+오나라</t>
    <phoneticPr fontId="3" type="noConversion"/>
  </si>
  <si>
    <t>김성철</t>
    <phoneticPr fontId="3" type="noConversion"/>
  </si>
  <si>
    <t>전국책</t>
  </si>
  <si>
    <t>맹덕신서</t>
  </si>
  <si>
    <t>상서</t>
  </si>
  <si>
    <t>동관한기</t>
  </si>
  <si>
    <t>한서</t>
  </si>
  <si>
    <t>중용</t>
  </si>
  <si>
    <t>염철론</t>
  </si>
  <si>
    <t>박물지</t>
  </si>
  <si>
    <t>설문해자</t>
  </si>
  <si>
    <t>이아</t>
  </si>
  <si>
    <t>무비지</t>
  </si>
  <si>
    <t>옥대신영</t>
  </si>
  <si>
    <t>좌전</t>
  </si>
  <si>
    <t>공양전</t>
  </si>
  <si>
    <t>악부시집</t>
  </si>
  <si>
    <t>신당서</t>
  </si>
  <si>
    <t>10만개의왜</t>
  </si>
  <si>
    <t>혀끝의삼국</t>
  </si>
  <si>
    <t>정말배고픈거야</t>
  </si>
  <si>
    <t>구구단외우기</t>
  </si>
  <si>
    <t>9세트체조</t>
  </si>
  <si>
    <t>금메달요리사</t>
  </si>
  <si>
    <t>손빈병법</t>
  </si>
  <si>
    <t>출사표</t>
  </si>
  <si>
    <t>육도</t>
  </si>
  <si>
    <t>삼략</t>
  </si>
  <si>
    <t>오자</t>
  </si>
  <si>
    <t>사마법</t>
  </si>
  <si>
    <t>울료자</t>
  </si>
  <si>
    <t>장원</t>
  </si>
  <si>
    <t>백전기략</t>
  </si>
  <si>
    <t>기효신서</t>
  </si>
  <si>
    <t>무경총요</t>
  </si>
  <si>
    <t>호잠경</t>
  </si>
  <si>
    <t>설원</t>
  </si>
  <si>
    <t>수성록</t>
  </si>
  <si>
    <t>이위공문대</t>
  </si>
  <si>
    <t>병주유요</t>
  </si>
  <si>
    <t>악기경</t>
  </si>
  <si>
    <t>병기요결</t>
  </si>
  <si>
    <t>강철은이렇게단련되었지</t>
  </si>
  <si>
    <t>40년의시행착오줄이기</t>
  </si>
  <si>
    <t>누가강한가</t>
  </si>
  <si>
    <t>곤권18식</t>
  </si>
  <si>
    <t>친구의비밀</t>
  </si>
  <si>
    <t>후한서</t>
  </si>
  <si>
    <t>춘추</t>
  </si>
  <si>
    <t>시경</t>
  </si>
  <si>
    <t>대학'</t>
  </si>
  <si>
    <t>도덕경</t>
  </si>
  <si>
    <t>묵자</t>
  </si>
  <si>
    <t>초사</t>
  </si>
  <si>
    <t>낙신부</t>
  </si>
  <si>
    <t>천문도</t>
  </si>
  <si>
    <t>회남자</t>
  </si>
  <si>
    <t>한비자</t>
  </si>
  <si>
    <t>상군서</t>
  </si>
  <si>
    <t>문심조룡</t>
  </si>
  <si>
    <t>태극도설</t>
  </si>
  <si>
    <t>백호통의</t>
  </si>
  <si>
    <t>근사록</t>
  </si>
  <si>
    <t>장자</t>
  </si>
  <si>
    <t>관자</t>
  </si>
  <si>
    <t>마을의희망</t>
  </si>
  <si>
    <t>고등수학</t>
  </si>
  <si>
    <t>비료레시피</t>
  </si>
  <si>
    <t>어미돼지출산후케어</t>
  </si>
  <si>
    <t>천공개물</t>
  </si>
  <si>
    <t>제민요술</t>
  </si>
  <si>
    <t>구장산술</t>
  </si>
  <si>
    <t>주역</t>
  </si>
  <si>
    <t>예기</t>
  </si>
  <si>
    <t>상한론</t>
  </si>
  <si>
    <t>몽계필담</t>
  </si>
  <si>
    <t>고공기</t>
  </si>
  <si>
    <t>포박자</t>
  </si>
  <si>
    <t>신농백초경</t>
  </si>
  <si>
    <t>수경주</t>
  </si>
  <si>
    <t>천금요방</t>
  </si>
  <si>
    <t>농상집요</t>
  </si>
  <si>
    <t>세설신어</t>
  </si>
  <si>
    <t>범승지서</t>
  </si>
  <si>
    <t>영조법식</t>
  </si>
  <si>
    <t>중년통신록</t>
  </si>
  <si>
    <t>원소주기율표</t>
  </si>
  <si>
    <t>어디가비싸요?</t>
  </si>
  <si>
    <t>대박비법노트</t>
  </si>
  <si>
    <t>선택받은알바</t>
  </si>
  <si>
    <t>초기능력치</t>
    <phoneticPr fontId="3" type="noConversion"/>
  </si>
  <si>
    <t>단약</t>
    <phoneticPr fontId="3" type="noConversion"/>
  </si>
  <si>
    <r>
      <rPr>
        <b/>
        <sz val="11"/>
        <color theme="5" tint="0.39997558519241921"/>
        <rFont val="Segoe UI Emoji"/>
        <family val="3"/>
      </rPr>
      <t>⚠️</t>
    </r>
    <r>
      <rPr>
        <b/>
        <sz val="11"/>
        <color theme="5" tint="0.39997558519241921"/>
        <rFont val="맑은 고딕"/>
        <family val="3"/>
        <charset val="129"/>
      </rPr>
      <t>주의 VBA 매크로 (열이나 행) 변경금지</t>
    </r>
    <phoneticPr fontId="3" type="noConversion"/>
  </si>
  <si>
    <t>김성철</t>
  </si>
  <si>
    <t>O</t>
    <phoneticPr fontId="3" type="noConversion"/>
  </si>
  <si>
    <t>X</t>
    <phoneticPr fontId="3" type="noConversion"/>
  </si>
  <si>
    <t>기록</t>
    <phoneticPr fontId="3" type="noConversion"/>
  </si>
  <si>
    <t>배우게될서책</t>
    <phoneticPr fontId="3" type="noConversion"/>
  </si>
  <si>
    <t>현재레벨</t>
    <phoneticPr fontId="3" type="noConversion"/>
  </si>
  <si>
    <t>조건</t>
    <phoneticPr fontId="3" type="noConversion"/>
  </si>
  <si>
    <t>CHROME</t>
  </si>
  <si>
    <t>CHROME</t>
    <phoneticPr fontId="3" type="noConversion"/>
  </si>
  <si>
    <t>배운책</t>
    <phoneticPr fontId="3" type="noConversion"/>
  </si>
  <si>
    <t>아스트리안</t>
  </si>
  <si>
    <t>아스트리안</t>
    <phoneticPr fontId="3" type="noConversion"/>
  </si>
  <si>
    <t>양볼에사탕</t>
  </si>
  <si>
    <t>양볼에사탕</t>
    <phoneticPr fontId="3" type="noConversion"/>
  </si>
  <si>
    <t>군사+40 / 통솔자+20 / 상인+20</t>
    <phoneticPr fontId="3" type="noConversion"/>
  </si>
  <si>
    <t>군사+60 / 통솔자+30 / 상인+30</t>
    <phoneticPr fontId="3" type="noConversion"/>
  </si>
  <si>
    <t>장군+60 / 요리사+30</t>
    <phoneticPr fontId="3" type="noConversion"/>
  </si>
  <si>
    <t>군사+40 / 요리사+20</t>
    <phoneticPr fontId="3" type="noConversion"/>
  </si>
  <si>
    <t>장군+40 / 요리사+20</t>
    <phoneticPr fontId="3" type="noConversion"/>
  </si>
  <si>
    <t>김케이</t>
  </si>
  <si>
    <t>김케이</t>
    <phoneticPr fontId="3" type="noConversion"/>
  </si>
  <si>
    <t>장군+60 / 대장장이+30</t>
    <phoneticPr fontId="3" type="noConversion"/>
  </si>
  <si>
    <t>장군+40 / 대장장이+20</t>
    <phoneticPr fontId="3" type="noConversion"/>
  </si>
  <si>
    <t>내력+촉나라</t>
    <phoneticPr fontId="3" type="noConversion"/>
  </si>
  <si>
    <t>통솔자+40 / 보안관+20</t>
    <phoneticPr fontId="3" type="noConversion"/>
  </si>
  <si>
    <t>통솔자+60 / 보안관+30</t>
    <phoneticPr fontId="3" type="noConversion"/>
  </si>
  <si>
    <t>장군+40 / 통솔자+20 / 대장장이+20</t>
    <phoneticPr fontId="3" type="noConversion"/>
  </si>
  <si>
    <t>장군+60 / 통솔자+30 / 대장장이+30</t>
    <phoneticPr fontId="3" type="noConversion"/>
  </si>
  <si>
    <t>군사+40 / 교사+20</t>
    <phoneticPr fontId="3" type="noConversion"/>
  </si>
  <si>
    <t>군사+60 / 교사+30</t>
    <phoneticPr fontId="3" type="noConversion"/>
  </si>
  <si>
    <t>바라미</t>
  </si>
  <si>
    <t>바라미</t>
    <phoneticPr fontId="3" type="noConversion"/>
  </si>
  <si>
    <t>홀수판매</t>
    <phoneticPr fontId="3" type="noConversion"/>
  </si>
  <si>
    <t>짝수모집</t>
    <phoneticPr fontId="3" type="noConversion"/>
  </si>
  <si>
    <t>짝수판매</t>
    <phoneticPr fontId="3" type="noConversion"/>
  </si>
  <si>
    <t>홀수모집</t>
    <phoneticPr fontId="3" type="noConversion"/>
  </si>
  <si>
    <t>만두</t>
    <phoneticPr fontId="3" type="noConversion"/>
  </si>
  <si>
    <t>홀수밀</t>
    <phoneticPr fontId="3" type="noConversion"/>
  </si>
  <si>
    <t>짝수벌목</t>
    <phoneticPr fontId="3" type="noConversion"/>
  </si>
  <si>
    <t>홀수철광정련</t>
    <phoneticPr fontId="3" type="noConversion"/>
  </si>
  <si>
    <t>짝수주조</t>
    <phoneticPr fontId="3" type="noConversion"/>
  </si>
  <si>
    <t>홀수주조</t>
    <phoneticPr fontId="3" type="noConversion"/>
  </si>
  <si>
    <t>짝수철광정련</t>
    <phoneticPr fontId="3" type="noConversion"/>
  </si>
  <si>
    <t>홀수교육</t>
    <phoneticPr fontId="3" type="noConversion"/>
  </si>
  <si>
    <t>짝수병사훈련</t>
    <phoneticPr fontId="3" type="noConversion"/>
  </si>
  <si>
    <t>짝수교육</t>
    <phoneticPr fontId="3" type="noConversion"/>
  </si>
  <si>
    <t>홀수병사</t>
    <phoneticPr fontId="3" type="noConversion"/>
  </si>
  <si>
    <t>짝부품가공</t>
    <phoneticPr fontId="3" type="noConversion"/>
  </si>
  <si>
    <t>홀목재가공</t>
    <phoneticPr fontId="3" type="noConversion"/>
  </si>
  <si>
    <t>홀부품가공</t>
    <phoneticPr fontId="3" type="noConversion"/>
  </si>
  <si>
    <t>짝목재가공</t>
    <phoneticPr fontId="3" type="noConversion"/>
  </si>
  <si>
    <t>홀치안</t>
    <phoneticPr fontId="3" type="noConversion"/>
  </si>
  <si>
    <t>짝창고</t>
    <phoneticPr fontId="3" type="noConversion"/>
  </si>
  <si>
    <t>짝치안</t>
    <phoneticPr fontId="3" type="noConversion"/>
  </si>
  <si>
    <t>홀창고</t>
    <phoneticPr fontId="3" type="noConversion"/>
  </si>
  <si>
    <t>신</t>
  </si>
  <si>
    <t>신</t>
    <phoneticPr fontId="3" type="noConversion"/>
  </si>
  <si>
    <t>가후</t>
  </si>
  <si>
    <t>가후</t>
    <phoneticPr fontId="3" type="noConversion"/>
  </si>
  <si>
    <t>관우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</si>
</sst>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;\-0;;@"/>
    <numFmt numFmtId="177" formatCode="&quot;지&quot;&quot;력&quot;\ General"/>
    <numFmt numFmtId="178" formatCode="&quot;무&quot;&quot;력&quot;\ General"/>
    <numFmt numFmtId="179" formatCode="&quot;내&quot;&quot;력&quot;\ General"/>
    <numFmt numFmtId="180" formatCode="&quot;체&quot;&quot;력&quot;\ General"/>
    <numFmt numFmtId="181" formatCode="&quot;성&quot;&quot;별&quot;\ General"/>
    <numFmt numFmtId="182" formatCode="&quot;[진영] &quot;@"/>
  </numFmts>
  <fonts count="42" x14ac:knownFonts="1"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8"/>
      <name val="돋움체"/>
      <family val="3"/>
      <charset val="129"/>
    </font>
    <font>
      <sz val="10"/>
      <color rgb="FF000000"/>
      <name val="맑은 고딕"/>
      <family val="2"/>
    </font>
    <font>
      <sz val="8"/>
      <color rgb="FF000000"/>
      <name val="맑은 고딕"/>
      <family val="2"/>
    </font>
    <font>
      <sz val="11"/>
      <color rgb="FF000000"/>
      <name val="맑은 고딕"/>
      <family val="2"/>
      <charset val="129"/>
    </font>
    <font>
      <b/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8"/>
      <color rgb="FF000000"/>
      <name val="맑은 고딕"/>
      <family val="3"/>
      <charset val="129"/>
    </font>
    <font>
      <sz val="12"/>
      <color theme="1"/>
      <name val="Arial Unicode MS"/>
      <family val="3"/>
      <charset val="129"/>
    </font>
    <font>
      <sz val="8"/>
      <name val="맑은 고딕"/>
      <family val="3"/>
      <charset val="129"/>
      <scheme val="minor"/>
    </font>
    <font>
      <sz val="12"/>
      <color rgb="FF4A86E8"/>
      <name val="Arial Unicode MS"/>
      <family val="3"/>
      <charset val="129"/>
    </font>
    <font>
      <sz val="12"/>
      <color rgb="FFFF9900"/>
      <name val="Arial Unicode MS"/>
      <family val="3"/>
      <charset val="129"/>
    </font>
    <font>
      <sz val="12"/>
      <color rgb="FFFF0000"/>
      <name val="Arial Unicode MS"/>
      <family val="3"/>
      <charset val="129"/>
    </font>
    <font>
      <sz val="12"/>
      <color rgb="FF000000"/>
      <name val="Arial Unicode MS"/>
      <family val="3"/>
      <charset val="129"/>
    </font>
    <font>
      <b/>
      <sz val="11"/>
      <color rgb="FF000000"/>
      <name val="맑은 고딕"/>
      <family val="3"/>
      <charset val="129"/>
    </font>
    <font>
      <sz val="11"/>
      <name val="맑은 고딕"/>
      <family val="3"/>
      <charset val="129"/>
    </font>
    <font>
      <b/>
      <sz val="14"/>
      <color indexed="81"/>
      <name val="돋움"/>
      <family val="3"/>
      <charset val="129"/>
    </font>
    <font>
      <b/>
      <sz val="14"/>
      <color indexed="81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color rgb="FFFF0000"/>
      <name val="맑은 고딕"/>
      <family val="3"/>
      <charset val="129"/>
    </font>
    <font>
      <sz val="10"/>
      <color rgb="FFFF0000"/>
      <name val="맑은 고딕"/>
      <family val="2"/>
      <charset val="129"/>
    </font>
    <font>
      <b/>
      <sz val="11"/>
      <color theme="5" tint="-0.249977111117893"/>
      <name val="맑은 고딕"/>
      <family val="3"/>
      <charset val="129"/>
    </font>
    <font>
      <b/>
      <sz val="11"/>
      <color theme="5" tint="0.39997558519241921"/>
      <name val="Segoe UI Emoji"/>
      <family val="3"/>
    </font>
    <font>
      <b/>
      <sz val="11"/>
      <color theme="5" tint="0.39997558519241921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5"/>
      <color theme="7" tint="-0.249977111117893"/>
      <name val="맑은 고딕"/>
      <family val="3"/>
      <charset val="129"/>
      <scheme val="minor"/>
    </font>
    <font>
      <sz val="13"/>
      <color rgb="FF1F1F1F"/>
      <name val="Arial"/>
      <family val="2"/>
    </font>
    <font>
      <b/>
      <sz val="13"/>
      <color rgb="FF1F1F1F"/>
      <name val="Arial"/>
      <family val="2"/>
    </font>
    <font>
      <b/>
      <sz val="10"/>
      <color rgb="FF1F1F1F"/>
      <name val="Arial Unicode MS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b/>
      <sz val="10"/>
      <color theme="5" tint="-0.249977111117893"/>
      <name val="맑은 고딕"/>
      <family val="3"/>
      <charset val="129"/>
    </font>
    <font>
      <b/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09EE6"/>
        <bgColor indexed="64"/>
      </patternFill>
    </fill>
    <fill>
      <patternFill patternType="solid">
        <fgColor rgb="FF909EE6"/>
        <bgColor theme="1"/>
      </patternFill>
    </fill>
    <fill>
      <patternFill patternType="solid">
        <fgColor rgb="FFD9EAD3"/>
        <bgColor rgb="FFD9EAD3"/>
      </patternFill>
    </fill>
    <fill>
      <patternFill patternType="solid">
        <fgColor theme="1"/>
        <bgColor theme="1"/>
      </patternFill>
    </fill>
    <fill>
      <patternFill patternType="solid">
        <fgColor rgb="FFFCE5CD"/>
        <bgColor rgb="FFFCE5CD"/>
      </patternFill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D9D9D9"/>
        <bgColor rgb="FFD9D9D9"/>
      </patternFill>
    </fill>
    <fill>
      <patternFill patternType="solid">
        <fgColor rgb="FFEAD1DC"/>
        <bgColor rgb="FFEAD1D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1EEE7"/>
        <bgColor indexed="64"/>
      </patternFill>
    </fill>
    <fill>
      <patternFill patternType="solid">
        <fgColor rgb="FFEAE3D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6" tint="0.59999389629810485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24" fillId="0" borderId="0"/>
  </cellStyleXfs>
  <cellXfs count="325">
    <xf numFmtId="0" fontId="0" fillId="0" borderId="0" xfId="0">
      <alignment vertical="center"/>
    </xf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1" fillId="0" borderId="0" xfId="1"/>
    <xf numFmtId="0" fontId="2" fillId="0" borderId="3" xfId="1" applyFont="1" applyBorder="1" applyAlignment="1">
      <alignment horizontal="center"/>
    </xf>
    <xf numFmtId="0" fontId="2" fillId="0" borderId="4" xfId="1" applyFont="1" applyBorder="1" applyAlignment="1">
      <alignment horizontal="center"/>
    </xf>
    <xf numFmtId="0" fontId="2" fillId="0" borderId="4" xfId="1" applyFont="1" applyBorder="1" applyAlignment="1">
      <alignment horizontal="left"/>
    </xf>
    <xf numFmtId="0" fontId="5" fillId="0" borderId="4" xfId="1" applyFont="1" applyBorder="1" applyAlignment="1">
      <alignment horizontal="center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4" xfId="1" applyFont="1" applyBorder="1" applyAlignment="1">
      <alignment horizontal="left"/>
    </xf>
    <xf numFmtId="0" fontId="6" fillId="0" borderId="5" xfId="1" applyFont="1" applyBorder="1" applyAlignment="1">
      <alignment horizontal="left"/>
    </xf>
    <xf numFmtId="0" fontId="2" fillId="0" borderId="6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2" fillId="0" borderId="7" xfId="1" applyFont="1" applyBorder="1" applyAlignment="1">
      <alignment horizontal="left"/>
    </xf>
    <xf numFmtId="0" fontId="5" fillId="0" borderId="7" xfId="1" applyFont="1" applyBorder="1" applyAlignment="1">
      <alignment horizontal="center"/>
    </xf>
    <xf numFmtId="0" fontId="6" fillId="0" borderId="7" xfId="1" applyFont="1" applyBorder="1" applyAlignment="1">
      <alignment horizontal="left" vertical="center"/>
    </xf>
    <xf numFmtId="0" fontId="5" fillId="3" borderId="4" xfId="1" applyFont="1" applyFill="1" applyBorder="1" applyAlignment="1">
      <alignment horizontal="center"/>
    </xf>
    <xf numFmtId="0" fontId="11" fillId="5" borderId="1" xfId="1" applyFont="1" applyFill="1" applyBorder="1" applyAlignment="1">
      <alignment horizontal="center" vertical="center"/>
    </xf>
    <xf numFmtId="0" fontId="11" fillId="5" borderId="2" xfId="1" applyFont="1" applyFill="1" applyBorder="1" applyAlignment="1">
      <alignment horizontal="center" vertical="center"/>
    </xf>
    <xf numFmtId="0" fontId="11" fillId="5" borderId="2" xfId="1" applyFont="1" applyFill="1" applyBorder="1" applyAlignment="1">
      <alignment horizontal="center" vertical="center" wrapText="1"/>
    </xf>
    <xf numFmtId="0" fontId="11" fillId="6" borderId="2" xfId="1" applyFont="1" applyFill="1" applyBorder="1" applyAlignment="1">
      <alignment horizontal="center" vertical="center" wrapText="1"/>
    </xf>
    <xf numFmtId="0" fontId="11" fillId="0" borderId="2" xfId="1" applyFont="1" applyBorder="1" applyAlignment="1">
      <alignment horizontal="center" vertical="center" wrapText="1"/>
    </xf>
    <xf numFmtId="0" fontId="11" fillId="0" borderId="9" xfId="1" applyFont="1" applyBorder="1" applyAlignment="1">
      <alignment horizontal="center" vertical="center" wrapText="1"/>
    </xf>
    <xf numFmtId="0" fontId="11" fillId="0" borderId="3" xfId="1" applyFont="1" applyBorder="1" applyAlignment="1">
      <alignment horizontal="center" vertical="center"/>
    </xf>
    <xf numFmtId="0" fontId="11" fillId="7" borderId="4" xfId="1" applyFont="1" applyFill="1" applyBorder="1" applyAlignment="1">
      <alignment horizontal="center" vertical="center"/>
    </xf>
    <xf numFmtId="0" fontId="13" fillId="7" borderId="4" xfId="1" applyFont="1" applyFill="1" applyBorder="1" applyAlignment="1">
      <alignment horizontal="center" vertical="center"/>
    </xf>
    <xf numFmtId="0" fontId="14" fillId="7" borderId="4" xfId="1" applyFont="1" applyFill="1" applyBorder="1" applyAlignment="1">
      <alignment horizontal="center" vertical="center"/>
    </xf>
    <xf numFmtId="0" fontId="14" fillId="8" borderId="4" xfId="1" applyFont="1" applyFill="1" applyBorder="1" applyAlignment="1">
      <alignment horizontal="center" vertical="center"/>
    </xf>
    <xf numFmtId="0" fontId="15" fillId="7" borderId="4" xfId="1" applyFont="1" applyFill="1" applyBorder="1" applyAlignment="1">
      <alignment horizontal="center" vertical="center"/>
    </xf>
    <xf numFmtId="0" fontId="11" fillId="7" borderId="5" xfId="1" applyFont="1" applyFill="1" applyBorder="1" applyAlignment="1">
      <alignment horizontal="center" vertical="center"/>
    </xf>
    <xf numFmtId="0" fontId="13" fillId="8" borderId="4" xfId="1" applyFont="1" applyFill="1" applyBorder="1" applyAlignment="1">
      <alignment horizontal="center" vertical="center"/>
    </xf>
    <xf numFmtId="0" fontId="11" fillId="7" borderId="4" xfId="1" quotePrefix="1" applyFont="1" applyFill="1" applyBorder="1" applyAlignment="1">
      <alignment horizontal="center" vertical="center"/>
    </xf>
    <xf numFmtId="0" fontId="15" fillId="8" borderId="4" xfId="1" applyFont="1" applyFill="1" applyBorder="1" applyAlignment="1">
      <alignment horizontal="center" vertical="center"/>
    </xf>
    <xf numFmtId="0" fontId="11" fillId="7" borderId="4" xfId="1" quotePrefix="1" applyFont="1" applyFill="1" applyBorder="1" applyAlignment="1">
      <alignment horizontal="center" vertical="center" wrapText="1"/>
    </xf>
    <xf numFmtId="0" fontId="11" fillId="9" borderId="4" xfId="1" applyFont="1" applyFill="1" applyBorder="1" applyAlignment="1">
      <alignment horizontal="center" vertical="center"/>
    </xf>
    <xf numFmtId="0" fontId="15" fillId="9" borderId="4" xfId="1" applyFont="1" applyFill="1" applyBorder="1" applyAlignment="1">
      <alignment horizontal="center" vertical="center"/>
    </xf>
    <xf numFmtId="0" fontId="11" fillId="9" borderId="5" xfId="1" applyFont="1" applyFill="1" applyBorder="1" applyAlignment="1">
      <alignment horizontal="center" vertical="center"/>
    </xf>
    <xf numFmtId="0" fontId="13" fillId="9" borderId="4" xfId="1" applyFont="1" applyFill="1" applyBorder="1" applyAlignment="1">
      <alignment horizontal="center" vertical="center"/>
    </xf>
    <xf numFmtId="0" fontId="14" fillId="9" borderId="4" xfId="1" applyFont="1" applyFill="1" applyBorder="1" applyAlignment="1">
      <alignment horizontal="center" vertical="center"/>
    </xf>
    <xf numFmtId="0" fontId="11" fillId="9" borderId="4" xfId="1" quotePrefix="1" applyFont="1" applyFill="1" applyBorder="1" applyAlignment="1">
      <alignment horizontal="center" vertical="center"/>
    </xf>
    <xf numFmtId="0" fontId="11" fillId="0" borderId="4" xfId="1" applyFont="1" applyBorder="1" applyAlignment="1">
      <alignment horizontal="center" vertical="center"/>
    </xf>
    <xf numFmtId="0" fontId="13" fillId="0" borderId="4" xfId="1" applyFont="1" applyBorder="1" applyAlignment="1">
      <alignment horizontal="center" vertical="center"/>
    </xf>
    <xf numFmtId="0" fontId="14" fillId="0" borderId="4" xfId="1" applyFont="1" applyBorder="1" applyAlignment="1">
      <alignment horizontal="center" vertical="center"/>
    </xf>
    <xf numFmtId="0" fontId="11" fillId="8" borderId="4" xfId="1" applyFont="1" applyFill="1" applyBorder="1" applyAlignment="1">
      <alignment horizontal="center" vertical="center"/>
    </xf>
    <xf numFmtId="0" fontId="11" fillId="0" borderId="5" xfId="1" applyFont="1" applyBorder="1" applyAlignment="1">
      <alignment horizontal="center" vertical="center"/>
    </xf>
    <xf numFmtId="0" fontId="11" fillId="10" borderId="4" xfId="1" applyFont="1" applyFill="1" applyBorder="1" applyAlignment="1">
      <alignment horizontal="center" vertical="center"/>
    </xf>
    <xf numFmtId="0" fontId="14" fillId="10" borderId="4" xfId="1" applyFont="1" applyFill="1" applyBorder="1" applyAlignment="1">
      <alignment horizontal="center" vertical="center"/>
    </xf>
    <xf numFmtId="0" fontId="13" fillId="10" borderId="4" xfId="1" applyFont="1" applyFill="1" applyBorder="1" applyAlignment="1">
      <alignment horizontal="center" vertical="center"/>
    </xf>
    <xf numFmtId="0" fontId="11" fillId="10" borderId="5" xfId="1" applyFont="1" applyFill="1" applyBorder="1" applyAlignment="1">
      <alignment horizontal="center" vertical="center"/>
    </xf>
    <xf numFmtId="0" fontId="15" fillId="10" borderId="4" xfId="1" applyFont="1" applyFill="1" applyBorder="1" applyAlignment="1">
      <alignment horizontal="center" vertical="center"/>
    </xf>
    <xf numFmtId="0" fontId="16" fillId="10" borderId="4" xfId="1" applyFont="1" applyFill="1" applyBorder="1" applyAlignment="1">
      <alignment horizontal="center" vertical="center"/>
    </xf>
    <xf numFmtId="0" fontId="15" fillId="0" borderId="4" xfId="1" applyFont="1" applyBorder="1" applyAlignment="1">
      <alignment horizontal="center" vertical="center"/>
    </xf>
    <xf numFmtId="0" fontId="11" fillId="11" borderId="4" xfId="1" applyFont="1" applyFill="1" applyBorder="1" applyAlignment="1">
      <alignment horizontal="center" vertical="center"/>
    </xf>
    <xf numFmtId="0" fontId="13" fillId="11" borderId="4" xfId="1" applyFont="1" applyFill="1" applyBorder="1" applyAlignment="1">
      <alignment horizontal="center" vertical="center"/>
    </xf>
    <xf numFmtId="0" fontId="15" fillId="11" borderId="4" xfId="1" applyFont="1" applyFill="1" applyBorder="1" applyAlignment="1">
      <alignment horizontal="center" vertical="center"/>
    </xf>
    <xf numFmtId="0" fontId="14" fillId="11" borderId="4" xfId="1" applyFont="1" applyFill="1" applyBorder="1" applyAlignment="1">
      <alignment horizontal="center" vertical="center"/>
    </xf>
    <xf numFmtId="0" fontId="11" fillId="11" borderId="5" xfId="1" applyFont="1" applyFill="1" applyBorder="1" applyAlignment="1">
      <alignment horizontal="center" vertical="center"/>
    </xf>
    <xf numFmtId="0" fontId="16" fillId="11" borderId="4" xfId="1" applyFont="1" applyFill="1" applyBorder="1" applyAlignment="1">
      <alignment horizontal="center" vertical="center"/>
    </xf>
    <xf numFmtId="0" fontId="16" fillId="11" borderId="4" xfId="1" quotePrefix="1" applyFont="1" applyFill="1" applyBorder="1" applyAlignment="1">
      <alignment horizontal="center" vertical="center"/>
    </xf>
    <xf numFmtId="0" fontId="16" fillId="9" borderId="4" xfId="1" quotePrefix="1" applyFont="1" applyFill="1" applyBorder="1" applyAlignment="1">
      <alignment horizontal="center" vertical="center"/>
    </xf>
    <xf numFmtId="0" fontId="16" fillId="9" borderId="4" xfId="1" applyFont="1" applyFill="1" applyBorder="1" applyAlignment="1">
      <alignment horizontal="center" vertical="center"/>
    </xf>
    <xf numFmtId="0" fontId="11" fillId="12" borderId="4" xfId="1" applyFont="1" applyFill="1" applyBorder="1" applyAlignment="1">
      <alignment horizontal="center" vertical="center"/>
    </xf>
    <xf numFmtId="0" fontId="13" fillId="12" borderId="4" xfId="1" applyFont="1" applyFill="1" applyBorder="1" applyAlignment="1">
      <alignment horizontal="center" vertical="center"/>
    </xf>
    <xf numFmtId="0" fontId="15" fillId="12" borderId="4" xfId="1" applyFont="1" applyFill="1" applyBorder="1" applyAlignment="1">
      <alignment horizontal="center" vertical="center"/>
    </xf>
    <xf numFmtId="0" fontId="11" fillId="12" borderId="5" xfId="1" applyFont="1" applyFill="1" applyBorder="1" applyAlignment="1">
      <alignment horizontal="center" vertical="center"/>
    </xf>
    <xf numFmtId="0" fontId="14" fillId="12" borderId="4" xfId="1" applyFont="1" applyFill="1" applyBorder="1" applyAlignment="1">
      <alignment horizontal="center" vertical="center"/>
    </xf>
    <xf numFmtId="0" fontId="16" fillId="12" borderId="4" xfId="1" applyFont="1" applyFill="1" applyBorder="1" applyAlignment="1">
      <alignment horizontal="center" vertical="center"/>
    </xf>
    <xf numFmtId="0" fontId="11" fillId="13" borderId="4" xfId="1" applyFont="1" applyFill="1" applyBorder="1" applyAlignment="1">
      <alignment horizontal="center" vertical="center"/>
    </xf>
    <xf numFmtId="0" fontId="15" fillId="13" borderId="4" xfId="1" applyFont="1" applyFill="1" applyBorder="1" applyAlignment="1">
      <alignment horizontal="center" vertical="center"/>
    </xf>
    <xf numFmtId="0" fontId="14" fillId="13" borderId="4" xfId="1" applyFont="1" applyFill="1" applyBorder="1" applyAlignment="1">
      <alignment horizontal="center" vertical="center"/>
    </xf>
    <xf numFmtId="0" fontId="13" fillId="13" borderId="4" xfId="1" applyFont="1" applyFill="1" applyBorder="1" applyAlignment="1">
      <alignment horizontal="center" vertical="center"/>
    </xf>
    <xf numFmtId="0" fontId="11" fillId="13" borderId="5" xfId="1" applyFont="1" applyFill="1" applyBorder="1" applyAlignment="1">
      <alignment horizontal="center" vertical="center"/>
    </xf>
    <xf numFmtId="0" fontId="11" fillId="13" borderId="4" xfId="1" quotePrefix="1" applyFont="1" applyFill="1" applyBorder="1" applyAlignment="1">
      <alignment horizontal="center" vertical="center"/>
    </xf>
    <xf numFmtId="0" fontId="16" fillId="13" borderId="4" xfId="1" applyFont="1" applyFill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11" fillId="9" borderId="7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8" borderId="7" xfId="1" applyFont="1" applyFill="1" applyBorder="1" applyAlignment="1">
      <alignment horizontal="center" vertical="center"/>
    </xf>
    <xf numFmtId="0" fontId="11" fillId="9" borderId="8" xfId="1" applyFont="1" applyFill="1" applyBorder="1" applyAlignment="1">
      <alignment horizontal="center" vertical="center"/>
    </xf>
    <xf numFmtId="0" fontId="11" fillId="13" borderId="2" xfId="1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0" fontId="1" fillId="0" borderId="4" xfId="1" applyBorder="1" applyAlignment="1">
      <alignment horizontal="center"/>
    </xf>
    <xf numFmtId="0" fontId="7" fillId="0" borderId="4" xfId="1" applyFont="1" applyBorder="1" applyAlignment="1">
      <alignment horizontal="center"/>
    </xf>
    <xf numFmtId="0" fontId="18" fillId="0" borderId="4" xfId="1" applyFont="1" applyBorder="1" applyAlignment="1">
      <alignment horizontal="center"/>
    </xf>
    <xf numFmtId="0" fontId="1" fillId="0" borderId="4" xfId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14" borderId="4" xfId="1" applyFont="1" applyFill="1" applyBorder="1" applyAlignment="1">
      <alignment horizontal="center" vertical="center"/>
    </xf>
    <xf numFmtId="0" fontId="1" fillId="14" borderId="4" xfId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vertical="center"/>
    </xf>
    <xf numFmtId="0" fontId="1" fillId="0" borderId="0" xfId="1" applyAlignment="1">
      <alignment horizontal="left" vertical="top"/>
    </xf>
    <xf numFmtId="0" fontId="7" fillId="0" borderId="0" xfId="1" applyFont="1" applyAlignment="1">
      <alignment horizontal="center"/>
    </xf>
    <xf numFmtId="0" fontId="7" fillId="0" borderId="0" xfId="1" applyFont="1" applyAlignment="1">
      <alignment horizontal="left" vertical="center"/>
    </xf>
    <xf numFmtId="0" fontId="7" fillId="0" borderId="0" xfId="1" applyFont="1" applyAlignment="1">
      <alignment horizontal="left"/>
    </xf>
    <xf numFmtId="0" fontId="8" fillId="0" borderId="0" xfId="0" applyFont="1">
      <alignment vertical="center"/>
    </xf>
    <xf numFmtId="14" fontId="1" fillId="0" borderId="0" xfId="1" applyNumberFormat="1" applyAlignment="1">
      <alignment horizontal="center"/>
    </xf>
    <xf numFmtId="0" fontId="1" fillId="0" borderId="15" xfId="1" applyBorder="1"/>
    <xf numFmtId="0" fontId="1" fillId="0" borderId="16" xfId="1" applyBorder="1"/>
    <xf numFmtId="0" fontId="9" fillId="3" borderId="13" xfId="1" applyFont="1" applyFill="1" applyBorder="1"/>
    <xf numFmtId="0" fontId="24" fillId="0" borderId="0" xfId="2"/>
    <xf numFmtId="0" fontId="1" fillId="0" borderId="7" xfId="1" applyBorder="1" applyAlignment="1">
      <alignment horizontal="center" vertical="center"/>
    </xf>
    <xf numFmtId="0" fontId="1" fillId="3" borderId="0" xfId="1" applyFill="1" applyAlignment="1">
      <alignment horizontal="center" vertical="center"/>
    </xf>
    <xf numFmtId="0" fontId="25" fillId="3" borderId="0" xfId="1" applyFont="1" applyFill="1" applyAlignment="1">
      <alignment horizontal="center" vertical="center"/>
    </xf>
    <xf numFmtId="0" fontId="9" fillId="0" borderId="4" xfId="1" applyFont="1" applyBorder="1" applyAlignment="1">
      <alignment horizontal="left"/>
    </xf>
    <xf numFmtId="0" fontId="9" fillId="0" borderId="4" xfId="1" applyFont="1" applyBorder="1" applyAlignment="1">
      <alignment horizontal="center"/>
    </xf>
    <xf numFmtId="0" fontId="10" fillId="0" borderId="4" xfId="1" applyFont="1" applyBorder="1" applyAlignment="1">
      <alignment horizontal="left"/>
    </xf>
    <xf numFmtId="0" fontId="10" fillId="0" borderId="4" xfId="1" applyFont="1" applyBorder="1" applyAlignment="1">
      <alignment horizontal="left" vertical="center"/>
    </xf>
    <xf numFmtId="0" fontId="23" fillId="3" borderId="18" xfId="1" applyFont="1" applyFill="1" applyBorder="1" applyAlignment="1">
      <alignment horizontal="center" vertical="center"/>
    </xf>
    <xf numFmtId="0" fontId="9" fillId="3" borderId="5" xfId="1" applyFont="1" applyFill="1" applyBorder="1" applyAlignment="1">
      <alignment horizontal="right" vertical="center"/>
    </xf>
    <xf numFmtId="0" fontId="9" fillId="3" borderId="19" xfId="1" applyFont="1" applyFill="1" applyBorder="1" applyAlignment="1">
      <alignment horizontal="right" vertical="center"/>
    </xf>
    <xf numFmtId="0" fontId="9" fillId="0" borderId="0" xfId="1" applyFont="1" applyAlignment="1">
      <alignment horizontal="right" vertical="center"/>
    </xf>
    <xf numFmtId="0" fontId="23" fillId="15" borderId="18" xfId="1" applyFont="1" applyFill="1" applyBorder="1" applyAlignment="1">
      <alignment horizontal="center" vertical="center"/>
    </xf>
    <xf numFmtId="0" fontId="23" fillId="15" borderId="20" xfId="1" applyFont="1" applyFill="1" applyBorder="1" applyAlignment="1">
      <alignment horizontal="center" vertical="center"/>
    </xf>
    <xf numFmtId="0" fontId="23" fillId="15" borderId="17" xfId="1" applyFont="1" applyFill="1" applyBorder="1" applyAlignment="1">
      <alignment horizontal="center" vertical="center"/>
    </xf>
    <xf numFmtId="0" fontId="1" fillId="15" borderId="13" xfId="1" applyFill="1" applyBorder="1"/>
    <xf numFmtId="0" fontId="9" fillId="0" borderId="21" xfId="1" applyFont="1" applyBorder="1" applyAlignment="1">
      <alignment horizontal="right" vertical="center"/>
    </xf>
    <xf numFmtId="0" fontId="9" fillId="0" borderId="22" xfId="1" applyFont="1" applyBorder="1" applyAlignment="1">
      <alignment horizontal="right" vertical="center"/>
    </xf>
    <xf numFmtId="0" fontId="2" fillId="0" borderId="0" xfId="1" applyFont="1" applyAlignment="1">
      <alignment horizontal="center"/>
    </xf>
    <xf numFmtId="0" fontId="5" fillId="0" borderId="11" xfId="1" applyFont="1" applyBorder="1" applyAlignment="1">
      <alignment horizontal="center"/>
    </xf>
    <xf numFmtId="0" fontId="5" fillId="0" borderId="0" xfId="1" applyFont="1" applyAlignment="1">
      <alignment horizontal="center"/>
    </xf>
    <xf numFmtId="0" fontId="6" fillId="0" borderId="0" xfId="1" applyFont="1" applyAlignment="1">
      <alignment horizontal="left" vertical="center"/>
    </xf>
    <xf numFmtId="0" fontId="9" fillId="0" borderId="23" xfId="1" applyFont="1" applyBorder="1" applyAlignment="1">
      <alignment horizontal="right" vertical="center"/>
    </xf>
    <xf numFmtId="0" fontId="1" fillId="15" borderId="5" xfId="1" applyFill="1" applyBorder="1"/>
    <xf numFmtId="0" fontId="1" fillId="0" borderId="21" xfId="1" applyBorder="1"/>
    <xf numFmtId="0" fontId="1" fillId="0" borderId="22" xfId="1" applyBorder="1"/>
    <xf numFmtId="0" fontId="2" fillId="2" borderId="10" xfId="1" applyFont="1" applyFill="1" applyBorder="1" applyAlignment="1">
      <alignment horizontal="center"/>
    </xf>
    <xf numFmtId="0" fontId="1" fillId="0" borderId="0" xfId="1" quotePrefix="1" applyAlignment="1">
      <alignment horizontal="center"/>
    </xf>
    <xf numFmtId="0" fontId="1" fillId="15" borderId="15" xfId="1" applyFill="1" applyBorder="1"/>
    <xf numFmtId="0" fontId="26" fillId="2" borderId="10" xfId="1" applyFont="1" applyFill="1" applyBorder="1" applyAlignment="1">
      <alignment horizontal="center"/>
    </xf>
    <xf numFmtId="0" fontId="2" fillId="2" borderId="4" xfId="1" applyFont="1" applyFill="1" applyBorder="1" applyAlignment="1">
      <alignment horizontal="center"/>
    </xf>
    <xf numFmtId="0" fontId="1" fillId="0" borderId="24" xfId="1" applyBorder="1"/>
    <xf numFmtId="0" fontId="23" fillId="16" borderId="17" xfId="1" applyFont="1" applyFill="1" applyBorder="1" applyAlignment="1">
      <alignment horizontal="center" vertical="center"/>
    </xf>
    <xf numFmtId="0" fontId="1" fillId="16" borderId="15" xfId="1" applyFill="1" applyBorder="1"/>
    <xf numFmtId="0" fontId="1" fillId="16" borderId="16" xfId="1" applyFill="1" applyBorder="1"/>
    <xf numFmtId="0" fontId="27" fillId="0" borderId="0" xfId="1" applyFont="1"/>
    <xf numFmtId="0" fontId="29" fillId="0" borderId="0" xfId="1" applyFont="1"/>
    <xf numFmtId="0" fontId="30" fillId="0" borderId="0" xfId="1" applyFont="1"/>
    <xf numFmtId="0" fontId="1" fillId="0" borderId="14" xfId="1" applyBorder="1" applyAlignment="1">
      <alignment horizontal="center" vertical="center"/>
    </xf>
    <xf numFmtId="0" fontId="1" fillId="0" borderId="26" xfId="1" applyBorder="1" applyAlignment="1">
      <alignment horizontal="center" vertical="center"/>
    </xf>
    <xf numFmtId="0" fontId="1" fillId="0" borderId="17" xfId="1" applyBorder="1" applyAlignment="1">
      <alignment horizontal="center" vertical="center"/>
    </xf>
    <xf numFmtId="0" fontId="5" fillId="18" borderId="4" xfId="1" applyFont="1" applyFill="1" applyBorder="1" applyAlignment="1">
      <alignment horizontal="center"/>
    </xf>
    <xf numFmtId="0" fontId="6" fillId="18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/>
    </xf>
    <xf numFmtId="0" fontId="10" fillId="18" borderId="4" xfId="1" applyFont="1" applyFill="1" applyBorder="1" applyAlignment="1">
      <alignment horizontal="left" vertical="center"/>
    </xf>
    <xf numFmtId="0" fontId="10" fillId="18" borderId="4" xfId="1" applyFont="1" applyFill="1" applyBorder="1" applyAlignment="1">
      <alignment horizontal="left"/>
    </xf>
    <xf numFmtId="0" fontId="9" fillId="18" borderId="4" xfId="1" applyFont="1" applyFill="1" applyBorder="1" applyAlignment="1">
      <alignment horizontal="center"/>
    </xf>
    <xf numFmtId="0" fontId="5" fillId="18" borderId="7" xfId="1" applyFont="1" applyFill="1" applyBorder="1" applyAlignment="1">
      <alignment horizontal="center"/>
    </xf>
    <xf numFmtId="0" fontId="24" fillId="20" borderId="21" xfId="2" applyFill="1" applyBorder="1"/>
    <xf numFmtId="0" fontId="24" fillId="20" borderId="0" xfId="2" applyFill="1"/>
    <xf numFmtId="0" fontId="24" fillId="19" borderId="15" xfId="2" applyFill="1" applyBorder="1"/>
    <xf numFmtId="0" fontId="24" fillId="19" borderId="21" xfId="2" applyFill="1" applyBorder="1"/>
    <xf numFmtId="0" fontId="24" fillId="19" borderId="0" xfId="2" applyFill="1"/>
    <xf numFmtId="0" fontId="8" fillId="19" borderId="0" xfId="2" applyFont="1" applyFill="1"/>
    <xf numFmtId="0" fontId="24" fillId="19" borderId="22" xfId="2" applyFill="1" applyBorder="1"/>
    <xf numFmtId="0" fontId="24" fillId="19" borderId="23" xfId="2" applyFill="1" applyBorder="1"/>
    <xf numFmtId="0" fontId="24" fillId="19" borderId="16" xfId="2" applyFill="1" applyBorder="1"/>
    <xf numFmtId="0" fontId="24" fillId="20" borderId="15" xfId="2" applyFill="1" applyBorder="1"/>
    <xf numFmtId="0" fontId="33" fillId="0" borderId="0" xfId="0" applyFont="1" applyAlignment="1">
      <alignment horizontal="left" vertical="center" indent="1"/>
    </xf>
    <xf numFmtId="0" fontId="33" fillId="0" borderId="0" xfId="0" applyFont="1" applyAlignment="1">
      <alignment horizontal="left" vertical="center" indent="2"/>
    </xf>
    <xf numFmtId="0" fontId="32" fillId="0" borderId="0" xfId="0" applyFont="1" applyAlignment="1">
      <alignment horizontal="left" vertical="center" indent="2"/>
    </xf>
    <xf numFmtId="0" fontId="2" fillId="0" borderId="5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2" fillId="0" borderId="0" xfId="1" applyFont="1" applyAlignment="1">
      <alignment horizontal="left"/>
    </xf>
    <xf numFmtId="0" fontId="9" fillId="0" borderId="0" xfId="1" applyFont="1" applyAlignment="1">
      <alignment horizontal="left"/>
    </xf>
    <xf numFmtId="0" fontId="7" fillId="14" borderId="4" xfId="1" applyFont="1" applyFill="1" applyBorder="1" applyAlignment="1">
      <alignment horizontal="center"/>
    </xf>
    <xf numFmtId="0" fontId="1" fillId="0" borderId="28" xfId="1" applyBorder="1"/>
    <xf numFmtId="0" fontId="35" fillId="0" borderId="0" xfId="0" applyFont="1">
      <alignment vertical="center"/>
    </xf>
    <xf numFmtId="0" fontId="0" fillId="0" borderId="0" xfId="0" quotePrefix="1">
      <alignment vertical="center"/>
    </xf>
    <xf numFmtId="0" fontId="38" fillId="0" borderId="0" xfId="1" applyFont="1"/>
    <xf numFmtId="0" fontId="9" fillId="21" borderId="12" xfId="1" applyFont="1" applyFill="1" applyBorder="1" applyAlignment="1">
      <alignment horizontal="center"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8" fillId="0" borderId="0" xfId="0" quotePrefix="1" applyFont="1">
      <alignment vertical="center"/>
    </xf>
    <xf numFmtId="0" fontId="7" fillId="3" borderId="4" xfId="1" applyFont="1" applyFill="1" applyBorder="1" applyAlignment="1">
      <alignment horizontal="center" vertical="center"/>
    </xf>
    <xf numFmtId="0" fontId="7" fillId="21" borderId="2" xfId="1" applyFont="1" applyFill="1" applyBorder="1" applyAlignment="1">
      <alignment horizontal="center" vertical="center"/>
    </xf>
    <xf numFmtId="0" fontId="7" fillId="21" borderId="2" xfId="1" applyFont="1" applyFill="1" applyBorder="1" applyAlignment="1">
      <alignment horizontal="center"/>
    </xf>
    <xf numFmtId="0" fontId="17" fillId="18" borderId="0" xfId="1" applyFont="1" applyFill="1"/>
    <xf numFmtId="0" fontId="1" fillId="0" borderId="14" xfId="1" applyBorder="1" applyAlignment="1">
      <alignment horizontal="center"/>
    </xf>
    <xf numFmtId="0" fontId="1" fillId="0" borderId="2" xfId="1" applyBorder="1" applyAlignment="1">
      <alignment horizontal="center" vertical="center"/>
    </xf>
    <xf numFmtId="0" fontId="1" fillId="0" borderId="2" xfId="1" applyBorder="1" applyAlignment="1">
      <alignment horizontal="center"/>
    </xf>
    <xf numFmtId="0" fontId="1" fillId="0" borderId="30" xfId="1" applyBorder="1" applyAlignment="1">
      <alignment horizontal="center"/>
    </xf>
    <xf numFmtId="0" fontId="17" fillId="21" borderId="31" xfId="1" applyFont="1" applyFill="1" applyBorder="1" applyAlignment="1">
      <alignment horizontal="center" vertical="center"/>
    </xf>
    <xf numFmtId="0" fontId="17" fillId="21" borderId="32" xfId="1" applyFont="1" applyFill="1" applyBorder="1" applyAlignment="1">
      <alignment horizontal="center" vertical="center"/>
    </xf>
    <xf numFmtId="0" fontId="17" fillId="21" borderId="32" xfId="1" applyFont="1" applyFill="1" applyBorder="1" applyAlignment="1">
      <alignment horizontal="center"/>
    </xf>
    <xf numFmtId="0" fontId="17" fillId="21" borderId="33" xfId="1" applyFont="1" applyFill="1" applyBorder="1" applyAlignment="1">
      <alignment horizontal="center"/>
    </xf>
    <xf numFmtId="0" fontId="1" fillId="0" borderId="7" xfId="1" applyBorder="1" applyAlignment="1">
      <alignment horizontal="center"/>
    </xf>
    <xf numFmtId="0" fontId="7" fillId="0" borderId="7" xfId="1" applyFont="1" applyBorder="1" applyAlignment="1">
      <alignment horizontal="center"/>
    </xf>
    <xf numFmtId="0" fontId="18" fillId="0" borderId="7" xfId="1" applyFont="1" applyBorder="1" applyAlignment="1">
      <alignment horizontal="center"/>
    </xf>
    <xf numFmtId="0" fontId="1" fillId="0" borderId="35" xfId="1" applyBorder="1" applyAlignment="1">
      <alignment horizontal="center"/>
    </xf>
    <xf numFmtId="0" fontId="1" fillId="0" borderId="36" xfId="1" applyBorder="1" applyAlignment="1">
      <alignment horizontal="center" vertical="center"/>
    </xf>
    <xf numFmtId="0" fontId="1" fillId="0" borderId="37" xfId="1" applyBorder="1" applyAlignment="1">
      <alignment horizontal="center" vertical="center"/>
    </xf>
    <xf numFmtId="0" fontId="1" fillId="0" borderId="37" xfId="1" applyBorder="1" applyAlignment="1">
      <alignment horizontal="center"/>
    </xf>
    <xf numFmtId="0" fontId="9" fillId="0" borderId="37" xfId="1" applyFont="1" applyBorder="1" applyAlignment="1">
      <alignment horizontal="left"/>
    </xf>
    <xf numFmtId="0" fontId="1" fillId="0" borderId="37" xfId="1" applyBorder="1" applyAlignment="1">
      <alignment horizontal="left"/>
    </xf>
    <xf numFmtId="0" fontId="1" fillId="0" borderId="38" xfId="1" applyBorder="1" applyAlignment="1">
      <alignment horizontal="left"/>
    </xf>
    <xf numFmtId="0" fontId="1" fillId="0" borderId="31" xfId="1" applyBorder="1" applyAlignment="1">
      <alignment horizontal="center" vertical="center"/>
    </xf>
    <xf numFmtId="0" fontId="1" fillId="0" borderId="32" xfId="1" applyBorder="1" applyAlignment="1">
      <alignment horizontal="center" vertical="center"/>
    </xf>
    <xf numFmtId="0" fontId="1" fillId="0" borderId="32" xfId="1" applyBorder="1" applyAlignment="1">
      <alignment horizontal="center"/>
    </xf>
    <xf numFmtId="0" fontId="9" fillId="0" borderId="32" xfId="1" applyFont="1" applyBorder="1" applyAlignment="1">
      <alignment horizontal="left"/>
    </xf>
    <xf numFmtId="0" fontId="1" fillId="0" borderId="32" xfId="1" applyBorder="1" applyAlignment="1">
      <alignment horizontal="left"/>
    </xf>
    <xf numFmtId="0" fontId="1" fillId="0" borderId="33" xfId="1" applyBorder="1" applyAlignment="1">
      <alignment horizontal="left"/>
    </xf>
    <xf numFmtId="0" fontId="2" fillId="0" borderId="4" xfId="1" quotePrefix="1" applyFont="1" applyBorder="1" applyAlignment="1">
      <alignment horizontal="center"/>
    </xf>
    <xf numFmtId="0" fontId="8" fillId="20" borderId="0" xfId="2" applyFont="1" applyFill="1"/>
    <xf numFmtId="0" fontId="8" fillId="15" borderId="0" xfId="2" applyFont="1" applyFill="1"/>
    <xf numFmtId="0" fontId="2" fillId="2" borderId="39" xfId="1" applyFont="1" applyFill="1" applyBorder="1" applyAlignment="1">
      <alignment horizontal="center"/>
    </xf>
    <xf numFmtId="0" fontId="2" fillId="2" borderId="9" xfId="1" applyFont="1" applyFill="1" applyBorder="1" applyAlignment="1">
      <alignment horizontal="center"/>
    </xf>
    <xf numFmtId="0" fontId="40" fillId="15" borderId="4" xfId="0" applyFont="1" applyFill="1" applyBorder="1">
      <alignment vertical="center"/>
    </xf>
    <xf numFmtId="0" fontId="2" fillId="15" borderId="4" xfId="1" applyFont="1" applyFill="1" applyBorder="1" applyAlignment="1">
      <alignment horizontal="center"/>
    </xf>
    <xf numFmtId="0" fontId="2" fillId="15" borderId="4" xfId="1" quotePrefix="1" applyFont="1" applyFill="1" applyBorder="1" applyAlignment="1">
      <alignment horizontal="center"/>
    </xf>
    <xf numFmtId="0" fontId="2" fillId="15" borderId="4" xfId="1" applyFont="1" applyFill="1" applyBorder="1" applyAlignment="1">
      <alignment horizontal="left"/>
    </xf>
    <xf numFmtId="0" fontId="9" fillId="15" borderId="4" xfId="1" applyFont="1" applyFill="1" applyBorder="1" applyAlignment="1">
      <alignment horizontal="left"/>
    </xf>
    <xf numFmtId="0" fontId="9" fillId="15" borderId="4" xfId="1" applyFont="1" applyFill="1" applyBorder="1" applyAlignment="1">
      <alignment horizontal="center"/>
    </xf>
    <xf numFmtId="0" fontId="40" fillId="16" borderId="4" xfId="0" applyFont="1" applyFill="1" applyBorder="1">
      <alignment vertical="center"/>
    </xf>
    <xf numFmtId="0" fontId="2" fillId="16" borderId="4" xfId="1" applyFont="1" applyFill="1" applyBorder="1" applyAlignment="1">
      <alignment horizontal="center"/>
    </xf>
    <xf numFmtId="0" fontId="2" fillId="16" borderId="4" xfId="1" quotePrefix="1" applyFont="1" applyFill="1" applyBorder="1" applyAlignment="1">
      <alignment horizontal="center"/>
    </xf>
    <xf numFmtId="0" fontId="2" fillId="16" borderId="4" xfId="1" applyFont="1" applyFill="1" applyBorder="1" applyAlignment="1">
      <alignment horizontal="left"/>
    </xf>
    <xf numFmtId="0" fontId="9" fillId="16" borderId="4" xfId="1" applyFont="1" applyFill="1" applyBorder="1" applyAlignment="1">
      <alignment horizontal="center"/>
    </xf>
    <xf numFmtId="0" fontId="9" fillId="16" borderId="4" xfId="1" quotePrefix="1" applyFont="1" applyFill="1" applyBorder="1" applyAlignment="1">
      <alignment horizontal="center"/>
    </xf>
    <xf numFmtId="0" fontId="9" fillId="16" borderId="4" xfId="1" applyFont="1" applyFill="1" applyBorder="1" applyAlignment="1">
      <alignment horizontal="left"/>
    </xf>
    <xf numFmtId="0" fontId="7" fillId="21" borderId="0" xfId="1" applyFont="1" applyFill="1" applyAlignment="1">
      <alignment horizontal="center" vertical="center"/>
    </xf>
    <xf numFmtId="0" fontId="0" fillId="0" borderId="4" xfId="0" applyBorder="1">
      <alignment vertical="center"/>
    </xf>
    <xf numFmtId="176" fontId="1" fillId="0" borderId="0" xfId="1" applyNumberFormat="1" applyAlignment="1">
      <alignment horizontal="center"/>
    </xf>
    <xf numFmtId="176" fontId="7" fillId="21" borderId="2" xfId="1" applyNumberFormat="1" applyFont="1" applyFill="1" applyBorder="1" applyAlignment="1">
      <alignment horizontal="center" vertical="center"/>
    </xf>
    <xf numFmtId="176" fontId="1" fillId="0" borderId="0" xfId="1" applyNumberFormat="1" applyAlignment="1">
      <alignment horizontal="center" vertical="center"/>
    </xf>
    <xf numFmtId="176" fontId="7" fillId="0" borderId="0" xfId="1" applyNumberFormat="1" applyFont="1" applyAlignment="1">
      <alignment horizontal="left" vertical="center"/>
    </xf>
    <xf numFmtId="176" fontId="7" fillId="0" borderId="0" xfId="1" applyNumberFormat="1" applyFont="1" applyAlignment="1">
      <alignment horizontal="left"/>
    </xf>
    <xf numFmtId="0" fontId="1" fillId="0" borderId="0" xfId="1" quotePrefix="1" applyAlignment="1">
      <alignment horizontal="left" vertical="top"/>
    </xf>
    <xf numFmtId="0" fontId="2" fillId="18" borderId="4" xfId="1" applyFont="1" applyFill="1" applyBorder="1" applyAlignment="1">
      <alignment horizontal="center"/>
    </xf>
    <xf numFmtId="0" fontId="2" fillId="18" borderId="4" xfId="1" quotePrefix="1" applyFont="1" applyFill="1" applyBorder="1" applyAlignment="1">
      <alignment horizontal="center"/>
    </xf>
    <xf numFmtId="0" fontId="2" fillId="18" borderId="4" xfId="1" applyFont="1" applyFill="1" applyBorder="1" applyAlignment="1">
      <alignment horizontal="left"/>
    </xf>
    <xf numFmtId="0" fontId="9" fillId="18" borderId="4" xfId="1" quotePrefix="1" applyFont="1" applyFill="1" applyBorder="1" applyAlignment="1">
      <alignment horizontal="center"/>
    </xf>
    <xf numFmtId="0" fontId="9" fillId="18" borderId="4" xfId="1" applyFont="1" applyFill="1" applyBorder="1" applyAlignment="1">
      <alignment horizontal="left"/>
    </xf>
    <xf numFmtId="0" fontId="2" fillId="22" borderId="4" xfId="1" applyFont="1" applyFill="1" applyBorder="1" applyAlignment="1">
      <alignment horizontal="left"/>
    </xf>
    <xf numFmtId="0" fontId="9" fillId="3" borderId="3" xfId="1" applyFont="1" applyFill="1" applyBorder="1"/>
    <xf numFmtId="0" fontId="9" fillId="3" borderId="41" xfId="1" applyFont="1" applyFill="1" applyBorder="1"/>
    <xf numFmtId="177" fontId="9" fillId="17" borderId="7" xfId="1" applyNumberFormat="1" applyFont="1" applyFill="1" applyBorder="1" applyAlignment="1">
      <alignment horizontal="right" vertical="center"/>
    </xf>
    <xf numFmtId="178" fontId="9" fillId="17" borderId="2" xfId="1" applyNumberFormat="1" applyFont="1" applyFill="1" applyBorder="1" applyAlignment="1">
      <alignment horizontal="right" vertical="center"/>
    </xf>
    <xf numFmtId="0" fontId="10" fillId="17" borderId="43" xfId="1" applyFont="1" applyFill="1" applyBorder="1" applyAlignment="1">
      <alignment horizontal="center" vertical="center"/>
    </xf>
    <xf numFmtId="0" fontId="10" fillId="15" borderId="33" xfId="1" applyFont="1" applyFill="1" applyBorder="1"/>
    <xf numFmtId="0" fontId="9" fillId="17" borderId="44" xfId="1" applyFont="1" applyFill="1" applyBorder="1" applyAlignment="1">
      <alignment horizontal="center" vertical="center"/>
    </xf>
    <xf numFmtId="0" fontId="1" fillId="17" borderId="30" xfId="1" applyFill="1" applyBorder="1" applyAlignment="1">
      <alignment horizontal="center"/>
    </xf>
    <xf numFmtId="0" fontId="1" fillId="17" borderId="26" xfId="1" applyFill="1" applyBorder="1" applyAlignment="1">
      <alignment horizontal="center"/>
    </xf>
    <xf numFmtId="0" fontId="23" fillId="15" borderId="45" xfId="1" applyFont="1" applyFill="1" applyBorder="1" applyAlignment="1">
      <alignment horizontal="center" vertical="center"/>
    </xf>
    <xf numFmtId="0" fontId="23" fillId="3" borderId="40" xfId="1" applyFont="1" applyFill="1" applyBorder="1"/>
    <xf numFmtId="0" fontId="9" fillId="17" borderId="1" xfId="1" applyFont="1" applyFill="1" applyBorder="1" applyAlignment="1">
      <alignment horizontal="center" vertical="center"/>
    </xf>
    <xf numFmtId="0" fontId="17" fillId="15" borderId="42" xfId="1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17" borderId="34" xfId="1" applyFont="1" applyFill="1" applyBorder="1" applyAlignment="1">
      <alignment horizontal="center" vertical="center"/>
    </xf>
    <xf numFmtId="0" fontId="1" fillId="17" borderId="0" xfId="1" applyFill="1"/>
    <xf numFmtId="0" fontId="23" fillId="0" borderId="0" xfId="1" applyFont="1" applyAlignment="1">
      <alignment horizontal="center" vertical="center"/>
    </xf>
    <xf numFmtId="180" fontId="9" fillId="0" borderId="0" xfId="1" applyNumberFormat="1" applyFont="1" applyAlignment="1">
      <alignment horizontal="center" vertical="center"/>
    </xf>
    <xf numFmtId="181" fontId="9" fillId="0" borderId="0" xfId="1" applyNumberFormat="1" applyFont="1" applyAlignment="1">
      <alignment horizontal="center" vertical="center"/>
    </xf>
    <xf numFmtId="182" fontId="9" fillId="0" borderId="0" xfId="1" applyNumberFormat="1" applyFont="1" applyAlignment="1">
      <alignment horizontal="center" vertical="center"/>
    </xf>
    <xf numFmtId="0" fontId="23" fillId="15" borderId="31" xfId="1" applyFont="1" applyFill="1" applyBorder="1" applyAlignment="1">
      <alignment horizontal="center" vertical="center"/>
    </xf>
    <xf numFmtId="0" fontId="23" fillId="15" borderId="32" xfId="1" applyFont="1" applyFill="1" applyBorder="1" applyAlignment="1">
      <alignment horizontal="center"/>
    </xf>
    <xf numFmtId="179" fontId="23" fillId="15" borderId="46" xfId="1" applyNumberFormat="1" applyFont="1" applyFill="1" applyBorder="1" applyAlignment="1">
      <alignment horizontal="center" vertical="center"/>
    </xf>
    <xf numFmtId="0" fontId="40" fillId="23" borderId="4" xfId="0" applyFont="1" applyFill="1" applyBorder="1">
      <alignment vertical="center"/>
    </xf>
    <xf numFmtId="0" fontId="2" fillId="23" borderId="4" xfId="1" applyFont="1" applyFill="1" applyBorder="1" applyAlignment="1">
      <alignment horizontal="center"/>
    </xf>
    <xf numFmtId="0" fontId="2" fillId="23" borderId="4" xfId="1" quotePrefix="1" applyFont="1" applyFill="1" applyBorder="1" applyAlignment="1">
      <alignment horizontal="center"/>
    </xf>
    <xf numFmtId="0" fontId="2" fillId="23" borderId="4" xfId="1" applyFont="1" applyFill="1" applyBorder="1" applyAlignment="1">
      <alignment horizontal="left"/>
    </xf>
    <xf numFmtId="0" fontId="9" fillId="23" borderId="4" xfId="1" applyFont="1" applyFill="1" applyBorder="1" applyAlignment="1">
      <alignment horizontal="center"/>
    </xf>
    <xf numFmtId="0" fontId="9" fillId="23" borderId="4" xfId="1" quotePrefix="1" applyFont="1" applyFill="1" applyBorder="1" applyAlignment="1">
      <alignment horizontal="center"/>
    </xf>
    <xf numFmtId="0" fontId="9" fillId="23" borderId="4" xfId="1" applyFont="1" applyFill="1" applyBorder="1" applyAlignment="1">
      <alignment horizontal="left"/>
    </xf>
    <xf numFmtId="0" fontId="2" fillId="24" borderId="4" xfId="1" applyFont="1" applyFill="1" applyBorder="1" applyAlignment="1">
      <alignment horizontal="left"/>
    </xf>
    <xf numFmtId="0" fontId="2" fillId="24" borderId="4" xfId="1" applyFont="1" applyFill="1" applyBorder="1" applyAlignment="1">
      <alignment horizontal="center"/>
    </xf>
    <xf numFmtId="0" fontId="40" fillId="18" borderId="4" xfId="0" applyFont="1" applyFill="1" applyBorder="1">
      <alignment vertical="center"/>
    </xf>
    <xf numFmtId="0" fontId="7" fillId="3" borderId="7" xfId="1" applyFont="1" applyFill="1" applyBorder="1" applyAlignment="1">
      <alignment horizontal="center" vertical="center"/>
    </xf>
    <xf numFmtId="0" fontId="9" fillId="0" borderId="0" xfId="1" applyFont="1" applyAlignment="1">
      <alignment vertical="center"/>
    </xf>
    <xf numFmtId="0" fontId="41" fillId="0" borderId="0" xfId="2" applyFont="1"/>
    <xf numFmtId="0" fontId="2" fillId="25" borderId="4" xfId="1" applyFont="1" applyFill="1" applyBorder="1" applyAlignment="1">
      <alignment horizontal="left"/>
    </xf>
    <xf numFmtId="0" fontId="9" fillId="0" borderId="4" xfId="1" quotePrefix="1" applyFont="1" applyBorder="1" applyAlignment="1">
      <alignment horizontal="center"/>
    </xf>
    <xf numFmtId="0" fontId="40" fillId="0" borderId="4" xfId="0" applyFont="1" applyBorder="1">
      <alignment vertical="center"/>
    </xf>
    <xf numFmtId="0" fontId="0" fillId="0" borderId="7" xfId="0" applyBorder="1">
      <alignment vertical="center"/>
    </xf>
    <xf numFmtId="18" fontId="23" fillId="15" borderId="48" xfId="1" applyNumberFormat="1" applyFont="1" applyFill="1" applyBorder="1" applyAlignment="1">
      <alignment horizontal="center" vertical="center"/>
    </xf>
    <xf numFmtId="0" fontId="23" fillId="15" borderId="49" xfId="1" applyFont="1" applyFill="1" applyBorder="1" applyAlignment="1">
      <alignment horizontal="center"/>
    </xf>
    <xf numFmtId="179" fontId="23" fillId="15" borderId="50" xfId="1" applyNumberFormat="1" applyFont="1" applyFill="1" applyBorder="1" applyAlignment="1">
      <alignment horizontal="center" vertical="center"/>
    </xf>
    <xf numFmtId="0" fontId="1" fillId="0" borderId="35" xfId="1" applyBorder="1" applyAlignment="1">
      <alignment horizontal="center" vertical="center"/>
    </xf>
    <xf numFmtId="0" fontId="41" fillId="3" borderId="0" xfId="2" applyFont="1" applyFill="1"/>
    <xf numFmtId="0" fontId="9" fillId="0" borderId="7" xfId="1" applyFont="1" applyBorder="1" applyAlignment="1">
      <alignment horizontal="center"/>
    </xf>
    <xf numFmtId="0" fontId="9" fillId="0" borderId="7" xfId="1" quotePrefix="1" applyFont="1" applyBorder="1" applyAlignment="1">
      <alignment horizontal="center"/>
    </xf>
    <xf numFmtId="0" fontId="9" fillId="0" borderId="7" xfId="1" applyFont="1" applyBorder="1" applyAlignment="1">
      <alignment horizontal="left"/>
    </xf>
    <xf numFmtId="0" fontId="40" fillId="26" borderId="4" xfId="1" applyFont="1" applyFill="1" applyBorder="1" applyAlignment="1">
      <alignment horizontal="center"/>
    </xf>
    <xf numFmtId="0" fontId="2" fillId="26" borderId="4" xfId="1" applyFont="1" applyFill="1" applyBorder="1" applyAlignment="1">
      <alignment horizontal="center"/>
    </xf>
    <xf numFmtId="0" fontId="2" fillId="26" borderId="4" xfId="1" quotePrefix="1" applyFont="1" applyFill="1" applyBorder="1" applyAlignment="1">
      <alignment horizontal="center"/>
    </xf>
    <xf numFmtId="0" fontId="9" fillId="26" borderId="4" xfId="1" applyFont="1" applyFill="1" applyBorder="1" applyAlignment="1">
      <alignment horizontal="center"/>
    </xf>
    <xf numFmtId="0" fontId="1" fillId="15" borderId="23" xfId="1" applyFill="1" applyBorder="1" applyAlignment="1">
      <alignment horizontal="center"/>
    </xf>
    <xf numFmtId="0" fontId="1" fillId="0" borderId="23" xfId="1" applyBorder="1" applyAlignment="1">
      <alignment horizontal="center"/>
    </xf>
    <xf numFmtId="0" fontId="8" fillId="19" borderId="0" xfId="2" applyFont="1" applyFill="1" applyAlignment="1">
      <alignment horizontal="center"/>
    </xf>
    <xf numFmtId="0" fontId="8" fillId="19" borderId="15" xfId="2" applyFont="1" applyFill="1" applyBorder="1" applyAlignment="1">
      <alignment horizontal="center"/>
    </xf>
    <xf numFmtId="0" fontId="8" fillId="19" borderId="27" xfId="2" applyFont="1" applyFill="1" applyBorder="1" applyAlignment="1">
      <alignment horizontal="center"/>
    </xf>
    <xf numFmtId="0" fontId="8" fillId="19" borderId="24" xfId="2" applyFont="1" applyFill="1" applyBorder="1" applyAlignment="1">
      <alignment horizontal="center"/>
    </xf>
    <xf numFmtId="0" fontId="8" fillId="19" borderId="12" xfId="2" applyFont="1" applyFill="1" applyBorder="1" applyAlignment="1">
      <alignment horizontal="center"/>
    </xf>
    <xf numFmtId="0" fontId="8" fillId="19" borderId="21" xfId="2" applyFont="1" applyFill="1" applyBorder="1" applyAlignment="1">
      <alignment horizontal="center"/>
    </xf>
    <xf numFmtId="0" fontId="1" fillId="0" borderId="0" xfId="1" applyAlignment="1">
      <alignment horizontal="center"/>
    </xf>
    <xf numFmtId="0" fontId="31" fillId="19" borderId="27" xfId="2" applyFont="1" applyFill="1" applyBorder="1" applyAlignment="1">
      <alignment horizontal="center" vertical="center"/>
    </xf>
    <xf numFmtId="0" fontId="31" fillId="19" borderId="24" xfId="2" applyFont="1" applyFill="1" applyBorder="1" applyAlignment="1">
      <alignment horizontal="center" vertical="center"/>
    </xf>
    <xf numFmtId="0" fontId="31" fillId="19" borderId="12" xfId="2" applyFont="1" applyFill="1" applyBorder="1" applyAlignment="1">
      <alignment horizontal="center" vertical="center"/>
    </xf>
    <xf numFmtId="0" fontId="31" fillId="19" borderId="21" xfId="2" applyFont="1" applyFill="1" applyBorder="1" applyAlignment="1">
      <alignment horizontal="center" vertical="center"/>
    </xf>
    <xf numFmtId="0" fontId="31" fillId="19" borderId="0" xfId="2" applyFont="1" applyFill="1" applyAlignment="1">
      <alignment horizontal="center" vertical="center"/>
    </xf>
    <xf numFmtId="0" fontId="31" fillId="19" borderId="15" xfId="2" applyFont="1" applyFill="1" applyBorder="1" applyAlignment="1">
      <alignment horizontal="center" vertical="center"/>
    </xf>
    <xf numFmtId="0" fontId="39" fillId="19" borderId="21" xfId="2" applyFont="1" applyFill="1" applyBorder="1" applyAlignment="1">
      <alignment horizontal="right"/>
    </xf>
    <xf numFmtId="0" fontId="39" fillId="19" borderId="0" xfId="2" applyFont="1" applyFill="1" applyAlignment="1">
      <alignment horizontal="right"/>
    </xf>
    <xf numFmtId="0" fontId="9" fillId="0" borderId="0" xfId="1" applyFont="1" applyAlignment="1">
      <alignment horizontal="center" vertical="center"/>
    </xf>
    <xf numFmtId="0" fontId="23" fillId="15" borderId="22" xfId="1" applyFont="1" applyFill="1" applyBorder="1" applyAlignment="1">
      <alignment horizontal="center" vertical="center"/>
    </xf>
    <xf numFmtId="0" fontId="23" fillId="15" borderId="16" xfId="1" applyFont="1" applyFill="1" applyBorder="1" applyAlignment="1">
      <alignment horizontal="center" vertical="center"/>
    </xf>
    <xf numFmtId="0" fontId="9" fillId="0" borderId="24" xfId="1" applyFont="1" applyBorder="1" applyAlignment="1">
      <alignment horizontal="center" vertical="center"/>
    </xf>
    <xf numFmtId="0" fontId="23" fillId="15" borderId="43" xfId="1" applyFont="1" applyFill="1" applyBorder="1" applyAlignment="1">
      <alignment horizontal="center" vertical="center"/>
    </xf>
    <xf numFmtId="0" fontId="23" fillId="15" borderId="47" xfId="1" applyFont="1" applyFill="1" applyBorder="1" applyAlignment="1">
      <alignment horizontal="center" vertical="center"/>
    </xf>
    <xf numFmtId="0" fontId="41" fillId="0" borderId="0" xfId="2" applyFont="1" applyAlignment="1">
      <alignment horizontal="center" vertical="center"/>
    </xf>
    <xf numFmtId="0" fontId="1" fillId="0" borderId="29" xfId="1" applyBorder="1" applyAlignment="1">
      <alignment horizontal="center" vertical="center"/>
    </xf>
    <xf numFmtId="0" fontId="1" fillId="0" borderId="13" xfId="1" applyBorder="1" applyAlignment="1">
      <alignment horizontal="center" vertical="center"/>
    </xf>
    <xf numFmtId="0" fontId="1" fillId="0" borderId="34" xfId="1" applyBorder="1" applyAlignment="1">
      <alignment horizontal="center" vertical="center"/>
    </xf>
    <xf numFmtId="0" fontId="1" fillId="15" borderId="0" xfId="1" applyFill="1" applyAlignment="1">
      <alignment horizontal="center"/>
    </xf>
    <xf numFmtId="0" fontId="17" fillId="15" borderId="0" xfId="1" applyFont="1" applyFill="1" applyAlignment="1">
      <alignment horizontal="center"/>
    </xf>
    <xf numFmtId="0" fontId="9" fillId="3" borderId="9" xfId="1" applyFont="1" applyFill="1" applyBorder="1" applyAlignment="1" applyProtection="1">
      <alignment horizontal="center" vertical="center"/>
      <protection locked="0"/>
    </xf>
    <xf numFmtId="0" fontId="9" fillId="3" borderId="8" xfId="1" applyFont="1" applyFill="1" applyBorder="1" applyAlignment="1" applyProtection="1">
      <alignment horizontal="center" vertical="center"/>
      <protection locked="0"/>
    </xf>
    <xf numFmtId="0" fontId="1" fillId="3" borderId="25" xfId="1" applyFill="1" applyBorder="1" applyAlignment="1" applyProtection="1">
      <alignment horizontal="center" vertical="center"/>
      <protection locked="0"/>
    </xf>
    <xf numFmtId="0" fontId="8" fillId="3" borderId="0" xfId="2" applyFont="1" applyFill="1" applyAlignment="1" applyProtection="1">
      <alignment horizontal="center"/>
      <protection locked="0"/>
    </xf>
    <xf numFmtId="0" fontId="7" fillId="0" borderId="4" xfId="1" applyFont="1" applyFill="1" applyBorder="1" applyAlignment="1">
      <alignment horizontal="center" vertical="center"/>
    </xf>
    <xf numFmtId="176" fontId="7" fillId="0" borderId="4" xfId="1" applyNumberFormat="1" applyFont="1" applyFill="1" applyBorder="1" applyAlignment="1">
      <alignment horizontal="center" vertical="center"/>
    </xf>
    <xf numFmtId="0" fontId="1" fillId="0" borderId="4" xfId="1" applyFill="1" applyBorder="1" applyAlignment="1">
      <alignment horizontal="center"/>
    </xf>
    <xf numFmtId="0" fontId="1" fillId="0" borderId="4" xfId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/>
    </xf>
  </cellXfs>
  <cellStyles count="3">
    <cellStyle name="표준" xfId="0" builtinId="0"/>
    <cellStyle name="표준 2" xfId="1" xr:uid="{00000000-0005-0000-0000-000001000000}"/>
    <cellStyle name="표준 3" xfId="2" xr:uid="{66C863AC-83F4-49DB-964F-7A3440B0A9E2}"/>
  </cellStyles>
  <dxfs count="94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176" formatCode="0;\-0;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176" formatCode="0;\-0;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fill>
        <patternFill patternType="solid">
          <fgColor rgb="FFEAD1DC"/>
          <bgColor rgb="FFEAD1D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fill>
        <patternFill patternType="solid">
          <fgColor rgb="FFEAD1DC"/>
          <bgColor rgb="FFEAD1D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fill>
        <patternFill patternType="solid">
          <fgColor rgb="FFEAD1DC"/>
          <bgColor rgb="FFEAD1D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fill>
        <patternFill patternType="solid">
          <fgColor rgb="FFEAD1DC"/>
          <bgColor rgb="FFEAD1D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fill>
        <patternFill patternType="solid">
          <fgColor rgb="FFEAD1DC"/>
          <bgColor rgb="FFEAD1D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fill>
        <patternFill patternType="solid">
          <fgColor rgb="FFEAD1DC"/>
          <bgColor rgb="FFEAD1D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fill>
        <patternFill patternType="solid">
          <fgColor rgb="FFEAD1DC"/>
          <bgColor rgb="FFEAD1D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fill>
        <patternFill patternType="solid">
          <fgColor rgb="FFEAD1DC"/>
          <bgColor rgb="FFEAD1D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Unicode MS"/>
        <family val="3"/>
        <charset val="129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fill>
        <patternFill patternType="solid">
          <fgColor rgb="FFEAD1DC"/>
          <bgColor rgb="FFEAD1D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fill>
        <patternFill patternType="solid">
          <fgColor rgb="FFEAD1DC"/>
          <bgColor rgb="FFEAD1D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fill>
        <patternFill patternType="solid">
          <fgColor rgb="FFEAD1DC"/>
          <bgColor rgb="FFEAD1DC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9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2"/>
        <charset val="129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2"/>
        <charset val="129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2"/>
        <charset val="129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2"/>
        <charset val="129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2"/>
        <charset val="129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rgb="FF000000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2"/>
        <charset val="129"/>
        <scheme val="none"/>
      </font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rgb="FF000000"/>
        <name val="맑은 고딕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rgb="FF000000"/>
        <name val="맑은 고딕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rgb="FF000000"/>
        <name val="맑은 고딕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rgb="FF000000"/>
        <name val="맑은 고딕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rgb="FF000000"/>
        <name val="맑은 고딕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rgb="FF000000"/>
        <name val="맑은 고딕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3"/>
        <charset val="129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family val="2"/>
        <charset val="129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horizont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맑은 고딕"/>
        <scheme val="none"/>
      </font>
      <fill>
        <patternFill patternType="solid">
          <fgColor indexed="64"/>
          <bgColor theme="3" tint="0.5999938962981048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1EEE7"/>
      <color rgb="FFEAE3D2"/>
      <color rgb="FFF2EE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" Type="http://schemas.openxmlformats.org/officeDocument/2006/relationships/image" Target="../media/image3.png"/><Relationship Id="rId16" Type="http://schemas.openxmlformats.org/officeDocument/2006/relationships/image" Target="../media/image14.png"/><Relationship Id="rId20" Type="http://schemas.openxmlformats.org/officeDocument/2006/relationships/image" Target="../media/image18.png"/><Relationship Id="rId1" Type="http://schemas.openxmlformats.org/officeDocument/2006/relationships/image" Target="../media/image2.png"/><Relationship Id="rId6" Type="http://schemas.microsoft.com/office/2007/relationships/hdphoto" Target="../media/hdphoto1.wdp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5.png"/><Relationship Id="rId9" Type="http://schemas.openxmlformats.org/officeDocument/2006/relationships/image" Target="../media/image8.png"/><Relationship Id="rId1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600075</xdr:colOff>
      <xdr:row>26</xdr:row>
      <xdr:rowOff>66675</xdr:rowOff>
    </xdr:from>
    <xdr:to>
      <xdr:col>9</xdr:col>
      <xdr:colOff>209427</xdr:colOff>
      <xdr:row>28</xdr:row>
      <xdr:rowOff>171385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C5D8BD6-9837-D565-9D7A-7AA0F8239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00675" y="5514975"/>
          <a:ext cx="980952" cy="5238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2</xdr:row>
      <xdr:rowOff>190500</xdr:rowOff>
    </xdr:from>
    <xdr:to>
      <xdr:col>21</xdr:col>
      <xdr:colOff>3472</xdr:colOff>
      <xdr:row>4</xdr:row>
      <xdr:rowOff>76160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1963E5F-7500-CADC-C2FA-A84268F08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91300" y="828675"/>
          <a:ext cx="295238" cy="323810"/>
        </a:xfrm>
        <a:prstGeom prst="rect">
          <a:avLst/>
        </a:prstGeom>
      </xdr:spPr>
    </xdr:pic>
    <xdr:clientData/>
  </xdr:twoCellAnchor>
  <xdr:twoCellAnchor editAs="oneCell">
    <xdr:from>
      <xdr:col>22</xdr:col>
      <xdr:colOff>19050</xdr:colOff>
      <xdr:row>2</xdr:row>
      <xdr:rowOff>190500</xdr:rowOff>
    </xdr:from>
    <xdr:to>
      <xdr:col>23</xdr:col>
      <xdr:colOff>3472</xdr:colOff>
      <xdr:row>4</xdr:row>
      <xdr:rowOff>38064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7D9C953-9CAA-F729-1BDE-6E18552CE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19950" y="828675"/>
          <a:ext cx="295238" cy="285714"/>
        </a:xfrm>
        <a:prstGeom prst="rect">
          <a:avLst/>
        </a:prstGeom>
      </xdr:spPr>
    </xdr:pic>
    <xdr:clientData/>
  </xdr:twoCellAnchor>
  <xdr:twoCellAnchor editAs="oneCell">
    <xdr:from>
      <xdr:col>24</xdr:col>
      <xdr:colOff>19050</xdr:colOff>
      <xdr:row>2</xdr:row>
      <xdr:rowOff>190500</xdr:rowOff>
    </xdr:from>
    <xdr:to>
      <xdr:col>24</xdr:col>
      <xdr:colOff>266669</xdr:colOff>
      <xdr:row>4</xdr:row>
      <xdr:rowOff>19017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0F975A8-3E38-2526-0627-E785D4BCB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48600" y="828675"/>
          <a:ext cx="247619" cy="266667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2</xdr:row>
      <xdr:rowOff>190500</xdr:rowOff>
    </xdr:from>
    <xdr:to>
      <xdr:col>27</xdr:col>
      <xdr:colOff>3477</xdr:colOff>
      <xdr:row>4</xdr:row>
      <xdr:rowOff>28540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CD7F838-2BB0-ABD6-A128-4E6430A32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05825" y="828675"/>
          <a:ext cx="266667" cy="276190"/>
        </a:xfrm>
        <a:prstGeom prst="rect">
          <a:avLst/>
        </a:prstGeom>
      </xdr:spPr>
    </xdr:pic>
    <xdr:clientData/>
  </xdr:twoCellAnchor>
  <xdr:twoCellAnchor editAs="oneCell">
    <xdr:from>
      <xdr:col>20</xdr:col>
      <xdr:colOff>152401</xdr:colOff>
      <xdr:row>6</xdr:row>
      <xdr:rowOff>9526</xdr:rowOff>
    </xdr:from>
    <xdr:to>
      <xdr:col>22</xdr:col>
      <xdr:colOff>161925</xdr:colOff>
      <xdr:row>9</xdr:row>
      <xdr:rowOff>124076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2E43F11E-E3AE-19DE-0D0B-3673089B7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3889" b="96111" l="8861" r="93671">
                      <a14:foregroundMark x1="8861" y1="47222" x2="15823" y2="25556"/>
                      <a14:foregroundMark x1="15823" y1="25556" x2="23418" y2="16111"/>
                      <a14:foregroundMark x1="23418" y1="16111" x2="31646" y2="11111"/>
                      <a14:foregroundMark x1="32911" y1="8889" x2="21519" y2="20000"/>
                      <a14:foregroundMark x1="17089" y1="15000" x2="16456" y2="25000"/>
                      <a14:foregroundMark x1="12025" y1="22778" x2="11392" y2="41667"/>
                      <a14:foregroundMark x1="9494" y1="30000" x2="10759" y2="58333"/>
                      <a14:foregroundMark x1="46203" y1="71667" x2="51266" y2="92222"/>
                      <a14:foregroundMark x1="60127" y1="79444" x2="77215" y2="70000"/>
                      <a14:foregroundMark x1="18987" y1="68889" x2="27215" y2="77778"/>
                      <a14:foregroundMark x1="75316" y1="73889" x2="84177" y2="65000"/>
                      <a14:foregroundMark x1="88608" y1="61111" x2="91772" y2="43333"/>
                      <a14:foregroundMark x1="93671" y1="44444" x2="89241" y2="27778"/>
                      <a14:foregroundMark x1="52532" y1="4444" x2="68354" y2="13333"/>
                      <a14:foregroundMark x1="51266" y1="32222" x2="60759" y2="45556"/>
                      <a14:foregroundMark x1="37342" y1="33889" x2="40506" y2="50000"/>
                      <a14:foregroundMark x1="50000" y1="95000" x2="50000" y2="9611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210176" y="1504951"/>
          <a:ext cx="685799" cy="752725"/>
        </a:xfrm>
        <a:prstGeom prst="rect">
          <a:avLst/>
        </a:prstGeom>
      </xdr:spPr>
    </xdr:pic>
    <xdr:clientData/>
  </xdr:twoCellAnchor>
  <xdr:twoCellAnchor editAs="oneCell">
    <xdr:from>
      <xdr:col>23</xdr:col>
      <xdr:colOff>123825</xdr:colOff>
      <xdr:row>6</xdr:row>
      <xdr:rowOff>9525</xdr:rowOff>
    </xdr:from>
    <xdr:to>
      <xdr:col>25</xdr:col>
      <xdr:colOff>181460</xdr:colOff>
      <xdr:row>9</xdr:row>
      <xdr:rowOff>152400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E9FB1379-60B6-6669-8032-8F9F6C1D0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4520" b="95480" l="8642" r="93210">
                      <a14:foregroundMark x1="27160" y1="14124" x2="12963" y2="53672"/>
                      <a14:foregroundMark x1="12963" y1="53672" x2="19753" y2="68362"/>
                      <a14:foregroundMark x1="19753" y1="68362" x2="38889" y2="79661"/>
                      <a14:foregroundMark x1="38889" y1="79661" x2="47531" y2="93785"/>
                      <a14:foregroundMark x1="47531" y1="93785" x2="86420" y2="65537"/>
                      <a14:foregroundMark x1="86420" y1="65537" x2="94444" y2="44068"/>
                      <a14:foregroundMark x1="94444" y1="44068" x2="92593" y2="28249"/>
                      <a14:foregroundMark x1="92593" y1="28249" x2="75926" y2="13559"/>
                      <a14:foregroundMark x1="75926" y1="13559" x2="43827" y2="7910"/>
                      <a14:foregroundMark x1="43827" y1="7910" x2="25926" y2="12429"/>
                      <a14:foregroundMark x1="25926" y1="12429" x2="16049" y2="18644"/>
                      <a14:foregroundMark x1="53086" y1="6215" x2="53704" y2="4520"/>
                      <a14:foregroundMark x1="84568" y1="24294" x2="94444" y2="46893"/>
                      <a14:foregroundMark x1="94444" y1="46893" x2="94444" y2="48588"/>
                      <a14:foregroundMark x1="48148" y1="92090" x2="50617" y2="96045"/>
                      <a14:foregroundMark x1="8642" y1="44068" x2="11111" y2="36158"/>
                      <a14:foregroundMark x1="59259" y1="5650" x2="42593" y2="734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124575" y="1504950"/>
          <a:ext cx="714860" cy="781050"/>
        </a:xfrm>
        <a:prstGeom prst="rect">
          <a:avLst/>
        </a:prstGeom>
      </xdr:spPr>
    </xdr:pic>
    <xdr:clientData/>
  </xdr:twoCellAnchor>
  <xdr:twoCellAnchor editAs="oneCell">
    <xdr:from>
      <xdr:col>26</xdr:col>
      <xdr:colOff>161926</xdr:colOff>
      <xdr:row>5</xdr:row>
      <xdr:rowOff>180976</xdr:rowOff>
    </xdr:from>
    <xdr:to>
      <xdr:col>28</xdr:col>
      <xdr:colOff>161925</xdr:colOff>
      <xdr:row>9</xdr:row>
      <xdr:rowOff>78033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4170FF62-F2F0-47BE-37FA-B66E05ADC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4598" b="94828" l="7051" r="93590">
                      <a14:foregroundMark x1="34615" y1="55172" x2="47436" y2="94828"/>
                      <a14:foregroundMark x1="49359" y1="76437" x2="17949" y2="47126"/>
                      <a14:foregroundMark x1="23718" y1="48851" x2="8974" y2="42529"/>
                      <a14:foregroundMark x1="25641" y1="9770" x2="14744" y2="37356"/>
                      <a14:foregroundMark x1="21795" y1="14943" x2="23718" y2="79885"/>
                      <a14:foregroundMark x1="36538" y1="64943" x2="47436" y2="81609"/>
                      <a14:foregroundMark x1="67308" y1="62069" x2="85256" y2="74713"/>
                      <a14:foregroundMark x1="76282" y1="63793" x2="91026" y2="55172"/>
                      <a14:foregroundMark x1="78205" y1="44253" x2="78205" y2="17816"/>
                      <a14:foregroundMark x1="69231" y1="8046" x2="89103" y2="31034"/>
                      <a14:foregroundMark x1="46154" y1="4598" x2="61538" y2="12069"/>
                      <a14:foregroundMark x1="91667" y1="28736" x2="93590" y2="40230"/>
                      <a14:foregroundMark x1="10256" y1="60345" x2="19231" y2="69540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105651" y="1466851"/>
          <a:ext cx="676274" cy="754307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19051</xdr:colOff>
      <xdr:row>11</xdr:row>
      <xdr:rowOff>1</xdr:rowOff>
    </xdr:from>
    <xdr:to>
      <xdr:col>21</xdr:col>
      <xdr:colOff>333375</xdr:colOff>
      <xdr:row>14</xdr:row>
      <xdr:rowOff>116749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35D72D59-10C7-49A5-1C05-6AEB9E4AD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76826" y="2562226"/>
          <a:ext cx="628649" cy="745398"/>
        </a:xfrm>
        <a:prstGeom prst="rect">
          <a:avLst/>
        </a:prstGeom>
      </xdr:spPr>
    </xdr:pic>
    <xdr:clientData/>
  </xdr:twoCellAnchor>
  <xdr:twoCellAnchor editAs="oneCell">
    <xdr:from>
      <xdr:col>22</xdr:col>
      <xdr:colOff>219075</xdr:colOff>
      <xdr:row>11</xdr:row>
      <xdr:rowOff>19050</xdr:rowOff>
    </xdr:from>
    <xdr:to>
      <xdr:col>24</xdr:col>
      <xdr:colOff>175803</xdr:colOff>
      <xdr:row>14</xdr:row>
      <xdr:rowOff>152399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4C414BCC-088C-79DF-3D1A-7C73DD8A9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05500" y="2581275"/>
          <a:ext cx="613953" cy="761999"/>
        </a:xfrm>
        <a:prstGeom prst="rect">
          <a:avLst/>
        </a:prstGeom>
      </xdr:spPr>
    </xdr:pic>
    <xdr:clientData/>
  </xdr:twoCellAnchor>
  <xdr:twoCellAnchor editAs="oneCell">
    <xdr:from>
      <xdr:col>25</xdr:col>
      <xdr:colOff>9526</xdr:colOff>
      <xdr:row>11</xdr:row>
      <xdr:rowOff>2</xdr:rowOff>
    </xdr:from>
    <xdr:to>
      <xdr:col>26</xdr:col>
      <xdr:colOff>208422</xdr:colOff>
      <xdr:row>14</xdr:row>
      <xdr:rowOff>66676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5ABC319C-68D9-BCC0-F3FA-1D7B7EC54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638926" y="2562227"/>
          <a:ext cx="551321" cy="695324"/>
        </a:xfrm>
        <a:prstGeom prst="rect">
          <a:avLst/>
        </a:prstGeom>
      </xdr:spPr>
    </xdr:pic>
    <xdr:clientData/>
  </xdr:twoCellAnchor>
  <xdr:twoCellAnchor editAs="oneCell">
    <xdr:from>
      <xdr:col>27</xdr:col>
      <xdr:colOff>57151</xdr:colOff>
      <xdr:row>11</xdr:row>
      <xdr:rowOff>9527</xdr:rowOff>
    </xdr:from>
    <xdr:to>
      <xdr:col>28</xdr:col>
      <xdr:colOff>237648</xdr:colOff>
      <xdr:row>14</xdr:row>
      <xdr:rowOff>28575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BB550F76-AD70-6099-6FC8-D251AA766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315201" y="2571752"/>
          <a:ext cx="542447" cy="647698"/>
        </a:xfrm>
        <a:prstGeom prst="rect">
          <a:avLst/>
        </a:prstGeom>
      </xdr:spPr>
    </xdr:pic>
    <xdr:clientData/>
  </xdr:twoCellAnchor>
  <xdr:twoCellAnchor editAs="oneCell">
    <xdr:from>
      <xdr:col>20</xdr:col>
      <xdr:colOff>85726</xdr:colOff>
      <xdr:row>16</xdr:row>
      <xdr:rowOff>19050</xdr:rowOff>
    </xdr:from>
    <xdr:to>
      <xdr:col>21</xdr:col>
      <xdr:colOff>295275</xdr:colOff>
      <xdr:row>19</xdr:row>
      <xdr:rowOff>64503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932CC73-613A-2F78-F96A-B3B624F2A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143501" y="3629025"/>
          <a:ext cx="523874" cy="674103"/>
        </a:xfrm>
        <a:prstGeom prst="rect">
          <a:avLst/>
        </a:prstGeom>
      </xdr:spPr>
    </xdr:pic>
    <xdr:clientData/>
  </xdr:twoCellAnchor>
  <xdr:twoCellAnchor editAs="oneCell">
    <xdr:from>
      <xdr:col>22</xdr:col>
      <xdr:colOff>161926</xdr:colOff>
      <xdr:row>16</xdr:row>
      <xdr:rowOff>19051</xdr:rowOff>
    </xdr:from>
    <xdr:to>
      <xdr:col>24</xdr:col>
      <xdr:colOff>85725</xdr:colOff>
      <xdr:row>19</xdr:row>
      <xdr:rowOff>57794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649CAC53-3B81-70A0-19B2-33AE384DD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848351" y="3629026"/>
          <a:ext cx="581024" cy="667393"/>
        </a:xfrm>
        <a:prstGeom prst="rect">
          <a:avLst/>
        </a:prstGeom>
      </xdr:spPr>
    </xdr:pic>
    <xdr:clientData/>
  </xdr:twoCellAnchor>
  <xdr:twoCellAnchor editAs="oneCell">
    <xdr:from>
      <xdr:col>25</xdr:col>
      <xdr:colOff>9527</xdr:colOff>
      <xdr:row>15</xdr:row>
      <xdr:rowOff>200026</xdr:rowOff>
    </xdr:from>
    <xdr:to>
      <xdr:col>26</xdr:col>
      <xdr:colOff>229278</xdr:colOff>
      <xdr:row>19</xdr:row>
      <xdr:rowOff>47625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FE94A84F-6F4A-984A-2953-62D01C34B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638927" y="3600451"/>
          <a:ext cx="572176" cy="685799"/>
        </a:xfrm>
        <a:prstGeom prst="rect">
          <a:avLst/>
        </a:prstGeom>
      </xdr:spPr>
    </xdr:pic>
    <xdr:clientData/>
  </xdr:twoCellAnchor>
  <xdr:twoCellAnchor editAs="oneCell">
    <xdr:from>
      <xdr:col>27</xdr:col>
      <xdr:colOff>38101</xdr:colOff>
      <xdr:row>16</xdr:row>
      <xdr:rowOff>19052</xdr:rowOff>
    </xdr:from>
    <xdr:to>
      <xdr:col>28</xdr:col>
      <xdr:colOff>221499</xdr:colOff>
      <xdr:row>19</xdr:row>
      <xdr:rowOff>28576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B567AEC-BDF4-FBA8-F9A3-7C239EC08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296151" y="3629027"/>
          <a:ext cx="545348" cy="638174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21</xdr:row>
      <xdr:rowOff>19051</xdr:rowOff>
    </xdr:from>
    <xdr:to>
      <xdr:col>21</xdr:col>
      <xdr:colOff>285750</xdr:colOff>
      <xdr:row>24</xdr:row>
      <xdr:rowOff>57081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DBD9AFF-38BE-57A1-EB7F-CC749CD55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114925" y="4686301"/>
          <a:ext cx="542925" cy="666680"/>
        </a:xfrm>
        <a:prstGeom prst="rect">
          <a:avLst/>
        </a:prstGeom>
      </xdr:spPr>
    </xdr:pic>
    <xdr:clientData/>
  </xdr:twoCellAnchor>
  <xdr:twoCellAnchor editAs="oneCell">
    <xdr:from>
      <xdr:col>22</xdr:col>
      <xdr:colOff>238126</xdr:colOff>
      <xdr:row>21</xdr:row>
      <xdr:rowOff>9526</xdr:rowOff>
    </xdr:from>
    <xdr:to>
      <xdr:col>24</xdr:col>
      <xdr:colOff>209551</xdr:colOff>
      <xdr:row>24</xdr:row>
      <xdr:rowOff>88656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5FA0FFDF-5874-F994-9643-B85F1E13A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924551" y="4676776"/>
          <a:ext cx="628650" cy="7077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19050</xdr:rowOff>
        </xdr:from>
        <xdr:to>
          <xdr:col>1</xdr:col>
          <xdr:colOff>0</xdr:colOff>
          <xdr:row>5</xdr:row>
          <xdr:rowOff>209550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단약초기화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95250</xdr:colOff>
          <xdr:row>5</xdr:row>
          <xdr:rowOff>66675</xdr:rowOff>
        </xdr:from>
        <xdr:to>
          <xdr:col>31</xdr:col>
          <xdr:colOff>314325</xdr:colOff>
          <xdr:row>9</xdr:row>
          <xdr:rowOff>104775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All 서책 get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ALL 10LV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95250</xdr:colOff>
          <xdr:row>9</xdr:row>
          <xdr:rowOff>152400</xdr:rowOff>
        </xdr:from>
        <xdr:to>
          <xdr:col>31</xdr:col>
          <xdr:colOff>314325</xdr:colOff>
          <xdr:row>13</xdr:row>
          <xdr:rowOff>200025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현재수치에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적용가능한책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LV 10일경우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95250</xdr:colOff>
          <xdr:row>0</xdr:row>
          <xdr:rowOff>209550</xdr:rowOff>
        </xdr:from>
        <xdr:to>
          <xdr:col>31</xdr:col>
          <xdr:colOff>314325</xdr:colOff>
          <xdr:row>5</xdr:row>
          <xdr:rowOff>19050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95250</xdr:colOff>
          <xdr:row>14</xdr:row>
          <xdr:rowOff>38100</xdr:rowOff>
        </xdr:from>
        <xdr:to>
          <xdr:col>31</xdr:col>
          <xdr:colOff>314325</xdr:colOff>
          <xdr:row>18</xdr:row>
          <xdr:rowOff>95250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보유한 책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Lv10일경우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304800</xdr:colOff>
          <xdr:row>0</xdr:row>
          <xdr:rowOff>171450</xdr:rowOff>
        </xdr:from>
        <xdr:to>
          <xdr:col>84</xdr:col>
          <xdr:colOff>123825</xdr:colOff>
          <xdr:row>2</xdr:row>
          <xdr:rowOff>95250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데이터업데이트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</xdr:row>
          <xdr:rowOff>161925</xdr:rowOff>
        </xdr:from>
        <xdr:to>
          <xdr:col>7</xdr:col>
          <xdr:colOff>142875</xdr:colOff>
          <xdr:row>3</xdr:row>
          <xdr:rowOff>85725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무력95이하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161925</xdr:rowOff>
        </xdr:from>
        <xdr:to>
          <xdr:col>8</xdr:col>
          <xdr:colOff>590550</xdr:colOff>
          <xdr:row>3</xdr:row>
          <xdr:rowOff>85725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지력95이하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9525</xdr:rowOff>
        </xdr:from>
        <xdr:to>
          <xdr:col>7</xdr:col>
          <xdr:colOff>142875</xdr:colOff>
          <xdr:row>5</xdr:row>
          <xdr:rowOff>152400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무력104이하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4</xdr:row>
          <xdr:rowOff>9525</xdr:rowOff>
        </xdr:from>
        <xdr:to>
          <xdr:col>8</xdr:col>
          <xdr:colOff>590550</xdr:colOff>
          <xdr:row>5</xdr:row>
          <xdr:rowOff>152400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지력104이하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</xdr:row>
          <xdr:rowOff>161925</xdr:rowOff>
        </xdr:from>
        <xdr:to>
          <xdr:col>5</xdr:col>
          <xdr:colOff>771525</xdr:colOff>
          <xdr:row>3</xdr:row>
          <xdr:rowOff>85725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161925</xdr:rowOff>
        </xdr:from>
        <xdr:to>
          <xdr:col>4</xdr:col>
          <xdr:colOff>314325</xdr:colOff>
          <xdr:row>3</xdr:row>
          <xdr:rowOff>85725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단약현황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nsdu\Desktop\&#48708;&#51648;\&#51088;&#47308;\&#47749;&#51109;.xlsx" TargetMode="External"/><Relationship Id="rId1" Type="http://schemas.openxmlformats.org/officeDocument/2006/relationships/externalLinkPath" Target="&#51088;&#47308;/&#47749;&#5110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임무S5"/>
      <sheetName val="S6시즌"/>
      <sheetName val="영웅"/>
      <sheetName val="서책"/>
      <sheetName val="서책2"/>
      <sheetName val="군단"/>
      <sheetName val="명단"/>
      <sheetName val="명단정리"/>
      <sheetName val="추방인원"/>
      <sheetName val="신청"/>
      <sheetName val="성급정리"/>
      <sheetName val="정리"/>
      <sheetName val="직업"/>
      <sheetName val="연맹)럭키비키"/>
      <sheetName val="경고"/>
      <sheetName val="연맹"/>
      <sheetName val="S5 티어"/>
      <sheetName val="S7 티어"/>
      <sheetName val="S8 티어"/>
      <sheetName val="시즌정보"/>
      <sheetName val="합체기 재료"/>
      <sheetName val="만두, 상자"/>
      <sheetName val="참고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5C540FC-2172-4057-9578-17204AC56AF8}" autoFormatId="16" applyNumberFormats="0" applyBorderFormats="0" applyFontFormats="0" applyPatternFormats="0" applyAlignmentFormats="0" applyWidthHeightFormats="0">
  <queryTableRefresh nextId="2">
    <queryTableFields count="1">
      <queryTableField id="1" name="사용자" tableColumnId="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A33C36-D92C-45E2-8AD4-E32C7A611EEF}" name="표2" displayName="표2" ref="A8:T77" totalsRowShown="0" headerRowDxfId="93" dataDxfId="0" headerRowBorderDxfId="92" tableBorderDxfId="91">
  <autoFilter ref="A8:T77" xr:uid="{FA36EE14-AE1F-4DA2-9729-50B48F63A1EA}"/>
  <tableColumns count="20">
    <tableColumn id="1" xr3:uid="{F136009A-2527-4E39-A8FD-2978667F2A59}" name="확인할 영웅" dataDxfId="20"/>
    <tableColumn id="2" xr3:uid="{44412D46-53CA-40CE-922A-40D70B27A289}" name="성별" dataDxfId="19"/>
    <tableColumn id="18" xr3:uid="{E93B4205-4864-43AF-B9AB-1C1319FE7A5D}" name="나라" dataDxfId="18"/>
    <tableColumn id="19" xr3:uid="{AFB6D784-72A8-4585-9E01-7E992C22B6DD}" name="무력단" dataDxfId="17" dataCellStyle="표준 2">
      <calculatedColumnFormula array="1">IF(ISERROR(MATCH(1, (표6[사용자] = '성장 시뮬레이터'!$B$1) * (표6[명장] = A9), 0)), "", INDEX(표6[무력단], MATCH(1, (표6[사용자] = '성장 시뮬레이터'!$B$1) * (표6[명장] = A9), 0)))</calculatedColumnFormula>
    </tableColumn>
    <tableColumn id="20" xr3:uid="{E12AF97E-7C69-447F-AF2E-B807A8442B3C}" name="지력단" dataDxfId="16" dataCellStyle="표준 2">
      <calculatedColumnFormula array="1">IFERROR(INDEX(표6[지력단], MATCH(1, (표6[사용자] = '성장 시뮬레이터'!$B$1) * (표6[명장] = A9), 0)),"")</calculatedColumnFormula>
    </tableColumn>
    <tableColumn id="3" xr3:uid="{6F52A683-C71C-4E9B-991A-0962A8BDB065}" name="무력+지력" dataDxfId="15">
      <calculatedColumnFormula>G9+H9</calculatedColumnFormula>
    </tableColumn>
    <tableColumn id="4" xr3:uid="{16059072-D6D3-4413-A886-7EAA87D07D7E}" name="무력" dataDxfId="14"/>
    <tableColumn id="5" xr3:uid="{27AEC2C3-55F7-4B9C-B441-7524D1C7152B}" name="지력" dataDxfId="13"/>
    <tableColumn id="6" xr3:uid="{76289160-2981-4E1E-BF78-6FA0E5B8C60F}" name="내력" dataDxfId="12"/>
    <tableColumn id="7" xr3:uid="{2D32D8FD-8709-41CA-9BA7-ADE9B059F6B9}" name="체력" dataDxfId="11"/>
    <tableColumn id="8" xr3:uid="{99EE1359-851D-4B28-BB84-C4239A180E96}" name="군사" dataDxfId="10"/>
    <tableColumn id="9" xr3:uid="{45D89C60-9C22-4F9B-AD4D-62059A9F0766}" name="장군" dataDxfId="9"/>
    <tableColumn id="10" xr3:uid="{9873D64F-BAD0-4F56-873F-5F797396D707}" name="통솔자" dataDxfId="8"/>
    <tableColumn id="11" xr3:uid="{0BA30D0C-3416-497F-A843-7218C98293AB}" name="농부" dataDxfId="7"/>
    <tableColumn id="12" xr3:uid="{EE29EC43-6A9B-44E5-A159-3134C5022784}" name="요리사" dataDxfId="6"/>
    <tableColumn id="13" xr3:uid="{9F6D3A66-0499-45AF-AE85-5BC0ADA27DF6}" name="상인" dataDxfId="5"/>
    <tableColumn id="14" xr3:uid="{572B0CCF-91F8-4E2E-A45E-94742E390485}" name="대장장이" dataDxfId="4"/>
    <tableColumn id="15" xr3:uid="{56CD69E1-5244-4BF8-848D-0A4E4482A8D9}" name="교사" dataDxfId="3"/>
    <tableColumn id="16" xr3:uid="{3B8B0BFB-962C-4694-A905-653B698EF014}" name="일꾼" dataDxfId="2"/>
    <tableColumn id="17" xr3:uid="{FDF35D9D-EF5C-422B-BDD7-D9AC01B508C8}" name="보안관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표1_3" displayName="표1_3" ref="A2:AF90" totalsRowShown="0" headerRowDxfId="90" dataDxfId="88" headerRowBorderDxfId="89" tableBorderDxfId="87" totalsRowBorderDxfId="86">
  <autoFilter ref="A2:AF90" xr:uid="{00000000-0009-0000-0100-000002000000}"/>
  <tableColumns count="32">
    <tableColumn id="1" xr3:uid="{00000000-0010-0000-0100-000001000000}" name="속성" dataDxfId="85"/>
    <tableColumn id="2" xr3:uid="{00000000-0010-0000-0100-000002000000}" name="등급" dataDxfId="84"/>
    <tableColumn id="31" xr3:uid="{9249C336-0190-4EDD-8590-EA5E3F027AD9}" name="시즌" dataDxfId="83" dataCellStyle="표준 2"/>
    <tableColumn id="3" xr3:uid="{00000000-0010-0000-0100-000003000000}" name="책이름" dataDxfId="82"/>
    <tableColumn id="12" xr3:uid="{00000000-0010-0000-0100-00000C000000}" name="내 책 등급" dataDxfId="81" dataCellStyle="표준 2">
      <calculatedColumnFormula array="1">INDEX(표1[내 책 등급], MATCH(1, (표1[사용자] ='성장 시뮬레이터'!$B$1) * (표1[책이름] = D3), 0))</calculatedColumnFormula>
    </tableColumn>
    <tableColumn id="4" xr3:uid="{00000000-0010-0000-0100-000004000000}" name="조건" dataDxfId="80"/>
    <tableColumn id="5" xr3:uid="{00000000-0010-0000-0100-000005000000}" name="수치" dataDxfId="79"/>
    <tableColumn id="25" xr3:uid="{B81D4170-BD87-4AE8-99D3-3F039EA81CA1}" name="성별" dataDxfId="78" dataCellStyle="표준 2">
      <calculatedColumnFormula>IF(ISNUMBER(SEARCH("여", F3)), IF(서책입력!$D$118=2, "O", "X"), "O")</calculatedColumnFormula>
    </tableColumn>
    <tableColumn id="26" xr3:uid="{EF05C1D7-4A36-4012-9B95-A44F5F83DDB2}" name="나라" dataDxfId="77" dataCellStyle="표준 2">
      <calculatedColumnFormula>IF(OR(ISNUMBER(SEARCH("위나라", F3)), ISNUMBER(SEARCH("촉나라", F3)), ISNUMBER(SEARCH("오나라", F3)), ISNUMBER(SEARCH("군웅", F3))), IF(ISNUMBER(SEARCH(서책입력!$D$119, F3)), "O", "X"), "O")</calculatedColumnFormula>
    </tableColumn>
    <tableColumn id="19" xr3:uid="{00000000-0010-0000-0100-000013000000}" name="적용여부" dataDxfId="76" dataCellStyle="표준 2">
      <calculatedColumnFormula>IF(
    AND(
        H3="O",
        I3="O",
        IF(ISNUMBER(SEARCH("무력+지력", F3)), (서책입력!$G$114+서책입력!$G$115) &gt;= G3,
           IF(ISNUMBER(SEARCH("무력", F3)), 서책입력!$G$114 &gt;= G3,
           IF(ISNUMBER(SEARCH("지력", F3)), 서책입력!$G$115 &gt;= G3,
           IF(ISNUMBER(SEARCH("내력", F3)), 서책입력!$G$116 &gt;= G3,
           IF(ISNUMBER(SEARCH("체력", F3)), 서책입력!$G$117 &gt;= G3, FALSE)))))
    ), "O", "X")</calculatedColumnFormula>
    </tableColumn>
    <tableColumn id="24" xr3:uid="{237D5D7B-4EAD-4424-9A75-FB9096B84B1F}" name="1차성장" dataDxfId="75" dataCellStyle="표준 2">
      <calculatedColumnFormula>IF(
    AND(
        H3="O",
        I3="O",
        IF(ISNUMBER(SEARCH("무력+지력", F3)), (서책입력!$I$114+서책입력!$I$115) &gt;= G3,
           IF(ISNUMBER(SEARCH("무력", F3)), 서책입력!$I$114 &gt;= G3,
           IF(ISNUMBER(SEARCH("지력", F3)), 서책입력!$I$115 &gt;= G3,
           IF(ISNUMBER(SEARCH("내력", F3)), 서책입력!$I$116 &gt;= G3,
           IF(ISNUMBER(SEARCH("체력", F3)), 서책입력!$I$117 &gt;= G3, FALSE)))))
    ), "O", "X")</calculatedColumnFormula>
    </tableColumn>
    <tableColumn id="27" xr3:uid="{8AB8DDA9-9157-404F-9148-8C6783520402}" name="2차성장" dataDxfId="74" dataCellStyle="표준 2">
      <calculatedColumnFormula>IF(
    AND(
        H3="O",
        I3="O",
        IF(ISNUMBER(SEARCH("무력+지력", F3)), (서책입력!$K$114+서책입력!$K$115) &gt;= G3,
           IF(ISNUMBER(SEARCH("무력", F3)), 서책입력!$K$114 &gt;= G3,
           IF(ISNUMBER(SEARCH("지력", F3)), 서책입력!$K$115 &gt;= G3,
           IF(ISNUMBER(SEARCH("내력", F3)), 서책입력!$K$116 &gt;= G3,
           IF(ISNUMBER(SEARCH("체력", F3)), 서책입력!$K$117 &gt;= G3, FALSE)))))
    ), "O", "X")</calculatedColumnFormula>
    </tableColumn>
    <tableColumn id="28" xr3:uid="{B861C805-1BEB-48BF-AEEA-7E29C446FE84}" name="3차성장" dataDxfId="73" dataCellStyle="표준 2">
      <calculatedColumnFormula>IF(
    AND(
        H3="O",
        I3="O",
        IF(ISNUMBER(SEARCH("무력+지력", F3)), (서책입력!$M$114+서책입력!$M$115) &gt;= G3,
           IF(ISNUMBER(SEARCH("무력", F3)), 서책입력!$M$114 &gt;= G3,
           IF(ISNUMBER(SEARCH("지력", F3)), 서책입력!$M$115 &gt;= G3,
           IF(ISNUMBER(SEARCH("내력", F3)), 서책입력!$M$116 &gt;= G3,
           IF(ISNUMBER(SEARCH("체력", F3)), 서책입력!$M$117 &gt;= G3, FALSE)))))
    ), "O", "X")</calculatedColumnFormula>
    </tableColumn>
    <tableColumn id="29" xr3:uid="{DC367C5F-753A-4416-ADB5-5CA6D2B8406C}" name="4차성장" dataDxfId="72" dataCellStyle="표준 2">
      <calculatedColumnFormula>IF(
    AND(
        H3="O",
        I3="O",
        IF(ISNUMBER(SEARCH("무력+지력", F3)), (서책입력!$O$114+서책입력!$O$115) &gt;= G3,
           IF(ISNUMBER(SEARCH("무력", F3)), 서책입력!$O$114 &gt;= G3,
           IF(ISNUMBER(SEARCH("지력", F3)), 서책입력!$O$115 &gt;= G3,
           IF(ISNUMBER(SEARCH("내력", F3)), 서책입력!$O$116 &gt;= G3,
           IF(ISNUMBER(SEARCH("체력", F3)), 서책입력!$O$117 &gt;= G3, FALSE)))))
    ), "O", "X")</calculatedColumnFormula>
    </tableColumn>
    <tableColumn id="30" xr3:uid="{D9F6D6BF-8D61-4282-85AA-174FDE682F89}" name="5차성장" dataDxfId="71" dataCellStyle="표준 2">
      <calculatedColumnFormula>IF(
    AND(
        H3="O",
        I3="O",
        IF(ISNUMBER(SEARCH("무력+지력", F3)), (서책입력!$R$114+서책입력!$R$115) &gt;= G3,
           IF(ISNUMBER(SEARCH("무력", F3)), 서책입력!$R$114 &gt;= G3,
           IF(ISNUMBER(SEARCH("지력", F3)), 서책입력!$R$115 &gt;= G3,
           IF(ISNUMBER(SEARCH("내력", F3)), 서책입력!$R$116 &gt;= G3,
           IF(ISNUMBER(SEARCH("체력", F3)), 서책입력!$R$117 &gt;= G3, FALSE)))))
    ), "O", "X")</calculatedColumnFormula>
    </tableColumn>
    <tableColumn id="32" xr3:uid="{9BBDE45B-3F05-491A-9CE5-DAAA58FEB758}" name="기록" dataDxfId="70" dataCellStyle="표준 2"/>
    <tableColumn id="23" xr3:uid="{00000000-0010-0000-0100-000017000000}" name="군사" dataDxfId="69" dataCellStyle="표준 2">
      <calculatedColumnFormula>IF(OR($E3=0, AH3=""), "", CHOOSE(IF($E3=10, 1, IF($E3=4, 2, 3)), AS3+AH3*5, AH3, ($E3-4)*AH3))</calculatedColumnFormula>
    </tableColumn>
    <tableColumn id="18" xr3:uid="{00000000-0010-0000-0100-000012000000}" name="장군" dataDxfId="68" dataCellStyle="표준 2">
      <calculatedColumnFormula>IF(OR($E3=0, AI3=""), "", CHOOSE(IF($E3=10, 1, IF($E3=4, 2, 3)), AT3+AI3*5, AI3, ($E3-4)*AI3))</calculatedColumnFormula>
    </tableColumn>
    <tableColumn id="20" xr3:uid="{00000000-0010-0000-0100-000014000000}" name="통솔자" dataDxfId="67" dataCellStyle="표준 2">
      <calculatedColumnFormula>IF(OR($E3=0, AJ3=""), "", CHOOSE(IF($E3=10, 1, IF($E3=4, 2, 3)), AU3+AJ3*5, AJ3, ($E3-4)*AJ3))</calculatedColumnFormula>
    </tableColumn>
    <tableColumn id="21" xr3:uid="{00000000-0010-0000-0100-000015000000}" name="농부" dataDxfId="66" dataCellStyle="표준 2">
      <calculatedColumnFormula>IF(OR($E3=0, AK3=""), "", CHOOSE(IF($E3=10, 1, IF($E3=4, 2, 3)), AV3+AK3*5, AK3, ($E3-4)*AK3))</calculatedColumnFormula>
    </tableColumn>
    <tableColumn id="22" xr3:uid="{00000000-0010-0000-0100-000016000000}" name="요리사" dataDxfId="65" dataCellStyle="표준 2">
      <calculatedColumnFormula>IF(OR($E3=0, AL3=""), "", CHOOSE(IF($E3=10, 1, IF($E3=4, 2, 3)), AW3+AL3*5, AL3, ($E3-4)*AL3))</calculatedColumnFormula>
    </tableColumn>
    <tableColumn id="17" xr3:uid="{00000000-0010-0000-0100-000011000000}" name="상인" dataDxfId="64" dataCellStyle="표준 2">
      <calculatedColumnFormula>IF(OR($E3=0, AM3=""), "", CHOOSE(IF($E3=10, 1, IF($E3=4, 2, 3)), AX3+AM3*5, AM3, ($E3-4)*AM3))</calculatedColumnFormula>
    </tableColumn>
    <tableColumn id="16" xr3:uid="{00000000-0010-0000-0100-000010000000}" name="대장장이" dataDxfId="63" dataCellStyle="표준 2">
      <calculatedColumnFormula>IF(OR($E3=0, AN3=""), "", CHOOSE(IF($E3=10, 1, IF($E3=4, 2, 3)), AY3+AN3*5, AN3, ($E3-4)*AN3))</calculatedColumnFormula>
    </tableColumn>
    <tableColumn id="15" xr3:uid="{00000000-0010-0000-0100-00000F000000}" name="교사" dataDxfId="62" dataCellStyle="표준 2">
      <calculatedColumnFormula>IF(OR($E3=0, AO3=""), "", CHOOSE(IF($E3=10, 1, IF($E3=4, 2, 3)), AZ3+AO3*5, AO3, ($E3-4)*AO3))</calculatedColumnFormula>
    </tableColumn>
    <tableColumn id="14" xr3:uid="{00000000-0010-0000-0100-00000E000000}" name="일꾼" dataDxfId="61" dataCellStyle="표준 2">
      <calculatedColumnFormula>IF(OR($E3=0, AP3=""), "", CHOOSE(IF($E3=10, 1, IF($E3=4, 2, 3)), BA3+AP3*5, AP3, ($E3-4)*AP3))</calculatedColumnFormula>
    </tableColumn>
    <tableColumn id="13" xr3:uid="{00000000-0010-0000-0100-00000D000000}" name="보안관" dataDxfId="60" dataCellStyle="표준 2">
      <calculatedColumnFormula>IF(OR($E3=0, AQ3=""), "", CHOOSE(IF($E3=10, 1, IF($E3=4, 2, 3)), BB3+AQ3*5, AQ3, ($E3-4)*AQ3))</calculatedColumnFormula>
    </tableColumn>
    <tableColumn id="6" xr3:uid="{00000000-0010-0000-0100-000006000000}" name="☆" dataDxfId="59"/>
    <tableColumn id="7" xr3:uid="{00000000-0010-0000-0100-000007000000}" name="★" dataDxfId="58"/>
    <tableColumn id="8" xr3:uid="{00000000-0010-0000-0100-000008000000}" name="★★" dataDxfId="57"/>
    <tableColumn id="9" xr3:uid="{00000000-0010-0000-0100-000009000000}" name="★★★" dataDxfId="56"/>
    <tableColumn id="10" xr3:uid="{00000000-0010-0000-0100-00000A000000}" name="★★★★" dataDxfId="55"/>
    <tableColumn id="11" xr3:uid="{00000000-0010-0000-0100-00000B000000}" name="★★★★★" dataDxfId="5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478D96-70EF-4646-BBD5-4D742A89AE5B}" name="표1" displayName="표1" ref="B1:G881" totalsRowShown="0" headerRowDxfId="53" headerRowBorderDxfId="52" tableBorderDxfId="51" totalsRowBorderDxfId="50" headerRowCellStyle="표준 2">
  <autoFilter ref="B1:G881" xr:uid="{19478D96-70EF-4646-BBD5-4D742A89AE5B}">
    <filterColumn colId="0">
      <filters>
        <filter val="가후"/>
      </filters>
    </filterColumn>
  </autoFilter>
  <tableColumns count="6">
    <tableColumn id="1" xr3:uid="{7D1F21A5-B359-43FD-97FE-881722017187}" name="사용자" dataDxfId="49"/>
    <tableColumn id="2" xr3:uid="{513E104F-2D36-420E-A0D5-AA03EA0B53DC}" name="속성" dataDxfId="48" dataCellStyle="표준 2"/>
    <tableColumn id="3" xr3:uid="{227456F1-FB9C-4C5B-9BB0-08FBA92ADE09}" name="등급" dataDxfId="47" dataCellStyle="표준 2"/>
    <tableColumn id="4" xr3:uid="{20AC8F91-F85F-4BA9-A4E3-6CBAC88566DF}" name="시즌" dataDxfId="46" dataCellStyle="표준 2"/>
    <tableColumn id="5" xr3:uid="{E7AACFDA-0FE9-45DB-A97A-8CA287A7AAAE}" name="책이름" dataDxfId="45" dataCellStyle="표준 2"/>
    <tableColumn id="6" xr3:uid="{8C47266E-8E13-4ACD-96CB-CD317B1C297F}" name="내 책 등급" dataDxfId="44" dataCellStyle="표준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2E6731-C0FB-46F1-AFD1-AB0A89FAB197}" name="표1_" displayName="표1_" ref="A1:A11" tableType="queryTable" totalsRowShown="0">
  <autoFilter ref="A1:A11" xr:uid="{F42E6731-C0FB-46F1-AFD1-AB0A89FAB197}"/>
  <tableColumns count="1">
    <tableColumn id="1" xr3:uid="{CD667812-343C-40C5-AFEF-6FADE80FFEDA}" uniqueName="1" name="사용자" queryTableFieldId="1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DB18B-FA3F-491F-84E7-68DCC2AB4409}" name="표6" displayName="표6" ref="A1:D346" totalsRowShown="0" headerRowDxfId="42" headerRowCellStyle="표준 2">
  <autoFilter ref="A1:D346" xr:uid="{B03DB18B-FA3F-491F-84E7-68DCC2AB4409}">
    <filterColumn colId="0">
      <filters>
        <filter val="가후"/>
      </filters>
    </filterColumn>
  </autoFilter>
  <tableColumns count="4">
    <tableColumn id="1" xr3:uid="{8AF1EA3E-A3F7-4D90-BEC1-831F517794CB}" name="사용자" dataDxfId="41"/>
    <tableColumn id="2" xr3:uid="{007090AA-08BE-45E8-BA73-C1A4531CF875}" name="명장" dataDxfId="40" dataCellStyle="표준 2"/>
    <tableColumn id="3" xr3:uid="{20561126-A8EE-4838-B9AD-DB0CB78F62FF}" name="무력단" dataDxfId="39" dataCellStyle="표준 2"/>
    <tableColumn id="4" xr3:uid="{6340F7A6-5332-4FB4-B668-3BBFC8912A52}" name="지력단" dataDxfId="38" dataCellStyle="표준 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71DFA-720D-41B7-9B38-4CAAEACA37E2}" name="표3" displayName="표3" ref="A3:P109" totalsRowShown="0" headerRowDxfId="37" dataDxfId="35" headerRowBorderDxfId="36" tableBorderDxfId="34" totalsRowBorderDxfId="33">
  <autoFilter ref="A3:P109" xr:uid="{425E1ED2-B0E2-4571-82E8-CF58D40C4E46}"/>
  <tableColumns count="16">
    <tableColumn id="1" xr3:uid="{5FBE1E61-3E15-4577-9030-544DB5F05ACF}" name="No" dataDxfId="32"/>
    <tableColumn id="2" xr3:uid="{94C06421-1ED9-4B43-A1BA-192DA245CA3A}" name="나라" dataDxfId="31"/>
    <tableColumn id="3" xr3:uid="{45EAAD40-D5FB-48FB-91D5-4FBA61DCF183}" name="명장" dataDxfId="30"/>
    <tableColumn id="4" xr3:uid="{4944F80E-6EB6-42C0-8444-4D948D2AB205}" name="분노"/>
    <tableColumn id="5" xr3:uid="{10B337A6-E202-4EFC-AAAE-D79751FBFE7D}" name="일반공격"/>
    <tableColumn id="6" xr3:uid="{FC172F90-AD3C-4F88-81EA-C0E946EE8BCA}" name="열1" dataDxfId="29"/>
    <tableColumn id="7" xr3:uid="{BA912955-9DD1-4C44-9AE1-6C28F7DF6363}" name="추격_x000a_조건"/>
    <tableColumn id="8" xr3:uid="{6A7AB555-0D40-4784-BFE4-1183A835DFB2}" name="추격후_x000a_상태"/>
    <tableColumn id="9" xr3:uid="{12200FE9-B927-449E-A7F0-8F017EFC0F7C}" name="패시브" dataDxfId="28"/>
    <tableColumn id="10" xr3:uid="{759AD2F7-7643-4CD5-9672-19D7233B5F44}" name="지원" dataDxfId="27"/>
    <tableColumn id="11" xr3:uid="{A82D6EA4-9879-446D-9B68-C0CDB3B52057}" name="무력" dataDxfId="26"/>
    <tableColumn id="12" xr3:uid="{4B49348B-0D0B-44BA-A396-851E7F3BC392}" name="지력" dataDxfId="25"/>
    <tableColumn id="13" xr3:uid="{D1851EBF-D69D-437F-80B9-6E3AEBBF855D}" name="내력" dataDxfId="24"/>
    <tableColumn id="14" xr3:uid="{A11FD776-2B1D-4C00-A47D-38608B655EA5}" name="체력" dataDxfId="23"/>
    <tableColumn id="15" xr3:uid="{9B29BA71-4D6E-4181-9C09-639B33D0C192}" name="성별" dataDxfId="22"/>
    <tableColumn id="16" xr3:uid="{F2A78293-507D-4A0C-ABE4-C2BC19C55683}" name="나라2" dataDxf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8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3A4CD-F22B-4BC5-868A-B842181E6A78}">
  <sheetPr codeName="Sheet3">
    <tabColor theme="1"/>
  </sheetPr>
  <dimension ref="A2:K38"/>
  <sheetViews>
    <sheetView showGridLines="0" workbookViewId="0">
      <selection activeCell="N20" sqref="N20"/>
    </sheetView>
  </sheetViews>
  <sheetFormatPr defaultRowHeight="16.5" x14ac:dyDescent="0.3"/>
  <sheetData>
    <row r="2" spans="1:3" x14ac:dyDescent="0.3">
      <c r="A2" s="96">
        <v>1</v>
      </c>
      <c r="B2" s="96" t="s">
        <v>735</v>
      </c>
    </row>
    <row r="3" spans="1:3" x14ac:dyDescent="0.3">
      <c r="B3" s="168" t="s">
        <v>736</v>
      </c>
    </row>
    <row r="4" spans="1:3" x14ac:dyDescent="0.3">
      <c r="B4" t="s">
        <v>728</v>
      </c>
    </row>
    <row r="6" spans="1:3" x14ac:dyDescent="0.3">
      <c r="B6" s="96" t="s">
        <v>734</v>
      </c>
    </row>
    <row r="7" spans="1:3" x14ac:dyDescent="0.3">
      <c r="C7" t="s">
        <v>729</v>
      </c>
    </row>
    <row r="8" spans="1:3" x14ac:dyDescent="0.3">
      <c r="C8" t="s">
        <v>730</v>
      </c>
    </row>
    <row r="9" spans="1:3" x14ac:dyDescent="0.3">
      <c r="C9" t="s">
        <v>731</v>
      </c>
    </row>
    <row r="10" spans="1:3" x14ac:dyDescent="0.3">
      <c r="C10" t="s">
        <v>732</v>
      </c>
    </row>
    <row r="11" spans="1:3" x14ac:dyDescent="0.3">
      <c r="C11" t="s">
        <v>733</v>
      </c>
    </row>
    <row r="13" spans="1:3" x14ac:dyDescent="0.3">
      <c r="A13" s="96">
        <v>2</v>
      </c>
      <c r="B13" s="96" t="s">
        <v>737</v>
      </c>
    </row>
    <row r="14" spans="1:3" x14ac:dyDescent="0.3">
      <c r="B14" s="96" t="s">
        <v>740</v>
      </c>
    </row>
    <row r="15" spans="1:3" x14ac:dyDescent="0.3">
      <c r="B15" s="174" t="s">
        <v>749</v>
      </c>
    </row>
    <row r="16" spans="1:3" x14ac:dyDescent="0.3">
      <c r="C16" s="169" t="s">
        <v>738</v>
      </c>
    </row>
    <row r="17" spans="1:11" x14ac:dyDescent="0.3">
      <c r="C17" s="169" t="s">
        <v>739</v>
      </c>
    </row>
    <row r="18" spans="1:11" x14ac:dyDescent="0.3">
      <c r="B18" s="172" t="s">
        <v>741</v>
      </c>
      <c r="C18" s="173" t="s">
        <v>742</v>
      </c>
      <c r="D18" s="173"/>
      <c r="E18" s="173"/>
      <c r="F18" s="173"/>
      <c r="G18" s="173"/>
    </row>
    <row r="21" spans="1:11" x14ac:dyDescent="0.3">
      <c r="B21" s="96" t="s">
        <v>743</v>
      </c>
    </row>
    <row r="22" spans="1:11" x14ac:dyDescent="0.3">
      <c r="B22" s="96" t="s">
        <v>750</v>
      </c>
    </row>
    <row r="23" spans="1:11" x14ac:dyDescent="0.3">
      <c r="C23" s="169" t="s">
        <v>744</v>
      </c>
    </row>
    <row r="25" spans="1:11" x14ac:dyDescent="0.3">
      <c r="B25" s="96" t="s">
        <v>748</v>
      </c>
    </row>
    <row r="26" spans="1:11" x14ac:dyDescent="0.3">
      <c r="B26" s="96" t="s">
        <v>751</v>
      </c>
    </row>
    <row r="28" spans="1:11" x14ac:dyDescent="0.3">
      <c r="K28" t="s">
        <v>752</v>
      </c>
    </row>
    <row r="30" spans="1:11" x14ac:dyDescent="0.3">
      <c r="A30" s="96">
        <v>3</v>
      </c>
      <c r="B30" s="96" t="s">
        <v>753</v>
      </c>
    </row>
    <row r="31" spans="1:11" x14ac:dyDescent="0.3">
      <c r="B31" s="96" t="s">
        <v>754</v>
      </c>
    </row>
    <row r="32" spans="1:11" x14ac:dyDescent="0.3">
      <c r="C32" t="s">
        <v>755</v>
      </c>
    </row>
    <row r="33" spans="2:3" x14ac:dyDescent="0.3">
      <c r="B33" s="96" t="s">
        <v>756</v>
      </c>
    </row>
    <row r="34" spans="2:3" x14ac:dyDescent="0.3">
      <c r="C34" s="169" t="s">
        <v>757</v>
      </c>
    </row>
    <row r="35" spans="2:3" x14ac:dyDescent="0.3">
      <c r="B35" s="96" t="s">
        <v>758</v>
      </c>
    </row>
    <row r="36" spans="2:3" x14ac:dyDescent="0.3">
      <c r="C36" s="169" t="s">
        <v>759</v>
      </c>
    </row>
    <row r="38" spans="2:3" x14ac:dyDescent="0.3">
      <c r="B38" s="96" t="s">
        <v>760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69066-2606-4195-9928-F77AA08A56EF}">
  <sheetPr codeName="Sheet1">
    <tabColor rgb="FFFFFF00"/>
  </sheetPr>
  <dimension ref="A1:AS131"/>
  <sheetViews>
    <sheetView showGridLines="0" zoomScale="95" zoomScaleNormal="95" workbookViewId="0">
      <selection activeCell="B1" sqref="B1:E1"/>
    </sheetView>
  </sheetViews>
  <sheetFormatPr defaultRowHeight="16.5" x14ac:dyDescent="0.3"/>
  <cols>
    <col min="1" max="1" width="10.75" style="101" customWidth="1"/>
    <col min="2" max="2" width="9" style="101"/>
    <col min="3" max="3" width="0" style="101" hidden="1" customWidth="1"/>
    <col min="4" max="5" width="10.25" style="101" customWidth="1"/>
    <col min="6" max="19" width="9" style="101" hidden="1" customWidth="1"/>
    <col min="20" max="20" width="4" style="101" customWidth="1"/>
    <col min="21" max="21" width="4.125" style="101" customWidth="1"/>
    <col min="22" max="22" width="4.75" style="101" customWidth="1"/>
    <col min="23" max="23" width="4.125" style="101" customWidth="1"/>
    <col min="24" max="24" width="4.5" style="101" customWidth="1"/>
    <col min="25" max="25" width="4.125" style="101" customWidth="1"/>
    <col min="26" max="26" width="4.625" style="101" customWidth="1"/>
    <col min="27" max="27" width="4.125" style="101" customWidth="1"/>
    <col min="28" max="28" width="4.75" style="101" customWidth="1"/>
    <col min="29" max="29" width="4.125" style="101" customWidth="1"/>
    <col min="30" max="30" width="4" style="101" customWidth="1"/>
    <col min="31" max="32" width="9" style="101"/>
    <col min="33" max="33" width="4.625" style="101" customWidth="1"/>
    <col min="34" max="16384" width="9" style="101"/>
  </cols>
  <sheetData>
    <row r="1" spans="1:45" ht="17.25" thickBot="1" x14ac:dyDescent="0.35">
      <c r="A1" s="205" t="s">
        <v>803</v>
      </c>
      <c r="B1" s="319" t="s">
        <v>961</v>
      </c>
      <c r="C1" s="319"/>
      <c r="D1" s="319"/>
      <c r="E1" s="319"/>
      <c r="AH1" s="183" t="s">
        <v>768</v>
      </c>
      <c r="AI1" s="184" t="s">
        <v>767</v>
      </c>
      <c r="AJ1" s="185" t="s">
        <v>147</v>
      </c>
      <c r="AK1" s="185" t="s">
        <v>148</v>
      </c>
      <c r="AL1" s="185" t="s">
        <v>149</v>
      </c>
      <c r="AM1" s="185" t="s">
        <v>150</v>
      </c>
      <c r="AN1" s="185" t="s">
        <v>550</v>
      </c>
      <c r="AO1" s="185" t="s">
        <v>151</v>
      </c>
      <c r="AP1" s="185" t="s">
        <v>152</v>
      </c>
      <c r="AQ1" s="185" t="s">
        <v>153</v>
      </c>
      <c r="AR1" s="185" t="s">
        <v>154</v>
      </c>
      <c r="AS1" s="186" t="s">
        <v>155</v>
      </c>
    </row>
    <row r="2" spans="1:45" x14ac:dyDescent="0.3">
      <c r="A2" s="137" t="s">
        <v>902</v>
      </c>
      <c r="C2" s="4"/>
      <c r="D2" s="4"/>
      <c r="E2" s="4"/>
      <c r="U2" s="296" t="str">
        <f>"["&amp; C10&amp; "]"&amp; " "&amp;A5</f>
        <v>[촉] 관우</v>
      </c>
      <c r="V2" s="297"/>
      <c r="W2" s="297"/>
      <c r="X2" s="297"/>
      <c r="Y2" s="297"/>
      <c r="Z2" s="297"/>
      <c r="AA2" s="297"/>
      <c r="AB2" s="297"/>
      <c r="AC2" s="298"/>
      <c r="AH2" s="311" t="s">
        <v>763</v>
      </c>
      <c r="AI2" s="180" t="s">
        <v>143</v>
      </c>
      <c r="AJ2" s="181"/>
      <c r="AK2" s="181">
        <v>3</v>
      </c>
      <c r="AL2" s="181"/>
      <c r="AM2" s="181">
        <v>1</v>
      </c>
      <c r="AN2" s="181"/>
      <c r="AO2" s="181"/>
      <c r="AP2" s="181">
        <v>1</v>
      </c>
      <c r="AQ2" s="181"/>
      <c r="AR2" s="181">
        <v>1</v>
      </c>
      <c r="AS2" s="182"/>
    </row>
    <row r="3" spans="1:45" ht="17.25" thickBot="1" x14ac:dyDescent="0.35">
      <c r="A3" s="136" t="s">
        <v>684</v>
      </c>
      <c r="B3" s="4"/>
      <c r="C3" s="4"/>
      <c r="D3" s="170" t="s">
        <v>747</v>
      </c>
      <c r="E3" s="4"/>
      <c r="F3" s="288" t="s">
        <v>658</v>
      </c>
      <c r="G3" s="288"/>
      <c r="H3" s="288" t="s">
        <v>664</v>
      </c>
      <c r="I3" s="288"/>
      <c r="J3" s="288" t="s">
        <v>663</v>
      </c>
      <c r="K3" s="288"/>
      <c r="L3" s="287" t="s">
        <v>665</v>
      </c>
      <c r="M3" s="287"/>
      <c r="N3" s="4" t="s">
        <v>670</v>
      </c>
      <c r="O3" s="4"/>
      <c r="P3" s="295" t="s">
        <v>675</v>
      </c>
      <c r="Q3" s="295"/>
      <c r="R3" s="295"/>
      <c r="S3" s="295"/>
      <c r="U3" s="299"/>
      <c r="V3" s="300"/>
      <c r="W3" s="300"/>
      <c r="X3" s="300"/>
      <c r="Y3" s="300"/>
      <c r="Z3" s="300"/>
      <c r="AA3" s="300"/>
      <c r="AB3" s="300"/>
      <c r="AC3" s="301"/>
      <c r="AH3" s="312"/>
      <c r="AI3" s="86" t="s">
        <v>144</v>
      </c>
      <c r="AJ3" s="83">
        <v>3</v>
      </c>
      <c r="AK3" s="83"/>
      <c r="AL3" s="83"/>
      <c r="AM3" s="83"/>
      <c r="AN3" s="83">
        <v>2</v>
      </c>
      <c r="AO3" s="83">
        <v>1</v>
      </c>
      <c r="AP3" s="83"/>
      <c r="AQ3" s="83"/>
      <c r="AR3" s="83"/>
      <c r="AS3" s="179"/>
    </row>
    <row r="4" spans="1:45" ht="17.25" thickBot="1" x14ac:dyDescent="0.35">
      <c r="A4" s="247" t="s">
        <v>242</v>
      </c>
      <c r="B4" s="241" t="s">
        <v>901</v>
      </c>
      <c r="C4" s="239" t="s">
        <v>900</v>
      </c>
      <c r="D4" s="244" t="s">
        <v>745</v>
      </c>
      <c r="E4" s="240" t="s">
        <v>746</v>
      </c>
      <c r="F4" s="245" t="s">
        <v>174</v>
      </c>
      <c r="G4" s="109" t="s">
        <v>658</v>
      </c>
      <c r="H4" s="114" t="s">
        <v>634</v>
      </c>
      <c r="I4" s="113" t="s">
        <v>642</v>
      </c>
      <c r="J4" s="114" t="s">
        <v>634</v>
      </c>
      <c r="K4" s="115" t="s">
        <v>642</v>
      </c>
      <c r="L4" s="114" t="s">
        <v>634</v>
      </c>
      <c r="M4" s="115" t="s">
        <v>642</v>
      </c>
      <c r="N4" s="114" t="s">
        <v>634</v>
      </c>
      <c r="O4" s="115" t="s">
        <v>642</v>
      </c>
      <c r="P4" s="114" t="s">
        <v>634</v>
      </c>
      <c r="Q4" s="115" t="s">
        <v>642</v>
      </c>
      <c r="R4" s="114" t="s">
        <v>634</v>
      </c>
      <c r="S4" s="133" t="s">
        <v>642</v>
      </c>
      <c r="U4" s="149"/>
      <c r="V4" s="204">
        <f>S5</f>
        <v>117</v>
      </c>
      <c r="W4" s="150"/>
      <c r="X4" s="204">
        <f>S6</f>
        <v>94</v>
      </c>
      <c r="Y4" s="150"/>
      <c r="Z4" s="204">
        <f>S7</f>
        <v>115</v>
      </c>
      <c r="AA4" s="150"/>
      <c r="AB4" s="204">
        <f>S8</f>
        <v>129</v>
      </c>
      <c r="AC4" s="158"/>
      <c r="AH4" s="312"/>
      <c r="AI4" s="87" t="s">
        <v>145</v>
      </c>
      <c r="AJ4" s="83">
        <v>1</v>
      </c>
      <c r="AK4" s="83">
        <v>1</v>
      </c>
      <c r="AL4" s="83">
        <v>2</v>
      </c>
      <c r="AM4" s="83"/>
      <c r="AN4" s="83"/>
      <c r="AO4" s="83">
        <v>5</v>
      </c>
      <c r="AP4" s="83">
        <v>2</v>
      </c>
      <c r="AQ4" s="85">
        <v>1</v>
      </c>
      <c r="AR4" s="83"/>
      <c r="AS4" s="179">
        <v>2</v>
      </c>
    </row>
    <row r="5" spans="1:45" ht="17.25" thickBot="1" x14ac:dyDescent="0.35">
      <c r="A5" s="318" t="s">
        <v>962</v>
      </c>
      <c r="B5" s="246" t="s">
        <v>632</v>
      </c>
      <c r="C5" s="238">
        <f>VLOOKUP(A5,표3[[#All],[명장]:[체력]],9,FALSE)</f>
        <v>99</v>
      </c>
      <c r="D5" s="316"/>
      <c r="E5" s="242">
        <f>IFERROR(VLOOKUP($A$5, 최종장수능력치!$A$9:$E$100, 4, FALSE), 0)</f>
        <v>0</v>
      </c>
      <c r="F5" s="100" t="s">
        <v>173</v>
      </c>
      <c r="G5" s="110">
        <f>N(C5)+N(E5)+N(D5)</f>
        <v>99</v>
      </c>
      <c r="H5" s="116">
        <f>INT((서책입력!R94+5)/10)*3+INT((서책입력!T94+5)/10)*1+INT((서책입력!W94+5)/10)*1+INT((서책입력!Y94+5)/10)*1</f>
        <v>12</v>
      </c>
      <c r="I5" s="124">
        <f>H5+G5</f>
        <v>111</v>
      </c>
      <c r="J5" s="125">
        <f>INT((서책입력!R97+5)/10)*3+INT((서책입력!T97+5)/10)*1+INT((서책입력!W97+5)/10)*1+INT((서책입력!Y97+5)/10)*1-H5</f>
        <v>6</v>
      </c>
      <c r="K5" s="98">
        <f>I5+J5</f>
        <v>117</v>
      </c>
      <c r="L5" s="125">
        <f>INT((서책입력!R100+5)/10)*3+INT((서책입력!T100+5)/10)*1+INT((서책입력!W100+5)/10)*1+INT((서책입력!Y100+5)/10)*1-J5-H5</f>
        <v>0</v>
      </c>
      <c r="M5" s="98">
        <f>K5+L5</f>
        <v>117</v>
      </c>
      <c r="N5" s="125">
        <f>INT((서책입력!R103+5)/10)*3+INT((서책입력!T103+5)/10)*1+INT((서책입력!W103+5)/10)*1+INT((서책입력!Y103+5)/10)*1-L5-J5-H5</f>
        <v>0</v>
      </c>
      <c r="O5" s="98">
        <f>N5+M5</f>
        <v>117</v>
      </c>
      <c r="P5" s="125">
        <f>INT((서책입력!R106+5)/10)*3+INT((서책입력!T106+5)/10)*1+INT((서책입력!W106+5)/10)*1+INT((서책입력!Y106+5)/10)*1-L5-J5-H5-N5</f>
        <v>0</v>
      </c>
      <c r="Q5" s="98">
        <f>P5+O5</f>
        <v>117</v>
      </c>
      <c r="R5" s="125">
        <f>INT((서책입력!R109+5)/10)*3+INT((서책입력!T109+5)/10)*1+INT((서책입력!W109+5)/10)*1+INT((서책입력!Y109+5)/10)*1-L5-J5-H5-N5-P5</f>
        <v>0</v>
      </c>
      <c r="S5" s="134">
        <f>R5+Q5</f>
        <v>117</v>
      </c>
      <c r="U5" s="302" t="str">
        <f>_xlfn.UNICHAR(9312 + C37 - 1)</f>
        <v>④</v>
      </c>
      <c r="V5" s="303"/>
      <c r="W5" s="153"/>
      <c r="X5" s="303" t="str">
        <f>_xlfn.UNICHAR(9312 + C38 - 1)</f>
        <v>⑥</v>
      </c>
      <c r="Y5" s="303"/>
      <c r="Z5" s="153"/>
      <c r="AA5" s="303" t="str">
        <f>_xlfn.UNICHAR(9312 + C39 - 1)</f>
        <v>⑥</v>
      </c>
      <c r="AB5" s="303"/>
      <c r="AC5" s="151"/>
      <c r="AH5" s="313"/>
      <c r="AI5" s="102" t="s">
        <v>146</v>
      </c>
      <c r="AJ5" s="187"/>
      <c r="AK5" s="188"/>
      <c r="AL5" s="102">
        <v>2</v>
      </c>
      <c r="AM5" s="102">
        <v>2</v>
      </c>
      <c r="AN5" s="187">
        <v>4</v>
      </c>
      <c r="AO5" s="187"/>
      <c r="AP5" s="187"/>
      <c r="AQ5" s="189">
        <v>3</v>
      </c>
      <c r="AR5" s="187">
        <v>2</v>
      </c>
      <c r="AS5" s="190">
        <v>1</v>
      </c>
    </row>
    <row r="6" spans="1:45" ht="17.25" thickBot="1" x14ac:dyDescent="0.35">
      <c r="A6" s="250"/>
      <c r="B6" s="249" t="s">
        <v>633</v>
      </c>
      <c r="C6" s="237">
        <f>VLOOKUP(A5,표3[[#All],[명장]:[체력]],10,FALSE)</f>
        <v>82</v>
      </c>
      <c r="D6" s="317"/>
      <c r="E6" s="243">
        <f>IFERROR(VLOOKUP($A$5, 최종장수능력치!$A$9:$E$100, 5, FALSE), 0)</f>
        <v>0</v>
      </c>
      <c r="F6" s="100" t="s">
        <v>175</v>
      </c>
      <c r="G6" s="110">
        <f>N(C6)+N(E6)+N(D6)</f>
        <v>82</v>
      </c>
      <c r="H6" s="116">
        <f>INT((서책입력!Q94+5)/10)*3+INT((서책입력!U94+5)/10)*2+INT((서책입력!V94+5)/10)*1</f>
        <v>5</v>
      </c>
      <c r="I6" s="124">
        <f>H6+G6</f>
        <v>87</v>
      </c>
      <c r="J6" s="125">
        <f>INT((서책입력!Q97+5)/10)*3+INT((서책입력!U97+5)/10)*2+INT((서책입력!V97+5)/10)*1-H6</f>
        <v>7</v>
      </c>
      <c r="K6" s="98">
        <f>I6+J6</f>
        <v>94</v>
      </c>
      <c r="L6" s="125">
        <f>INT((서책입력!Q100+5)/10)*3+INT((서책입력!U100+5)/10)*2+INT((서책입력!V100+5)/10)*1-J6-H6</f>
        <v>0</v>
      </c>
      <c r="M6" s="129">
        <f>K6+L6</f>
        <v>94</v>
      </c>
      <c r="N6" s="125">
        <f>INT((서책입력!Q103+5)/10)*3+INT((서책입력!U103+5)/10)*2+INT((서책입력!V103+5)/10)*1-L6-J6-H6</f>
        <v>0</v>
      </c>
      <c r="O6" s="98">
        <f>N6+M6</f>
        <v>94</v>
      </c>
      <c r="P6" s="125">
        <f>INT((서책입력!Q106+5)/10)*3+INT((서책입력!U106+5)/10)*2+INT((서책입력!V106+5)/10)*1-L6-J6-H6-N6</f>
        <v>0</v>
      </c>
      <c r="Q6" s="98">
        <f>P6+O6</f>
        <v>94</v>
      </c>
      <c r="R6" s="125">
        <f>INT((서책입력!Q109+5)/10)*3+INT((서책입력!U109+5)/10)*2+INT((서책입력!V109+5)/10)*1-L6-J6-H6-N6-P6</f>
        <v>0</v>
      </c>
      <c r="S6" s="134">
        <f>R6+Q6</f>
        <v>94</v>
      </c>
      <c r="U6" s="302"/>
      <c r="V6" s="303"/>
      <c r="W6" s="153"/>
      <c r="X6" s="303"/>
      <c r="Y6" s="303"/>
      <c r="Z6" s="153"/>
      <c r="AA6" s="303"/>
      <c r="AB6" s="303"/>
      <c r="AC6" s="151"/>
      <c r="AH6" s="191" t="s">
        <v>764</v>
      </c>
      <c r="AI6" s="192" t="s">
        <v>762</v>
      </c>
      <c r="AJ6" s="193" t="s">
        <v>707</v>
      </c>
      <c r="AK6" s="193" t="s">
        <v>708</v>
      </c>
      <c r="AL6" s="193" t="s">
        <v>709</v>
      </c>
      <c r="AM6" s="194" t="s">
        <v>712</v>
      </c>
      <c r="AN6" s="195" t="s">
        <v>711</v>
      </c>
      <c r="AO6" s="195" t="s">
        <v>710</v>
      </c>
      <c r="AP6" s="195" t="s">
        <v>713</v>
      </c>
      <c r="AQ6" s="195" t="s">
        <v>714</v>
      </c>
      <c r="AR6" s="195" t="s">
        <v>715</v>
      </c>
      <c r="AS6" s="196" t="s">
        <v>716</v>
      </c>
    </row>
    <row r="7" spans="1:45" ht="17.25" thickBot="1" x14ac:dyDescent="0.35">
      <c r="A7" s="255" t="s">
        <v>907</v>
      </c>
      <c r="B7" s="256" t="s">
        <v>908</v>
      </c>
      <c r="C7" s="257">
        <f>VLOOKUP(A5,표3[[#All],[명장]:[체력]],11,FALSE)</f>
        <v>89</v>
      </c>
      <c r="D7" s="308" t="s">
        <v>909</v>
      </c>
      <c r="E7" s="309"/>
      <c r="F7" s="235" t="s">
        <v>176</v>
      </c>
      <c r="G7" s="110">
        <f>C7+E7</f>
        <v>89</v>
      </c>
      <c r="H7" s="116">
        <f>INT((서책입력!Q94+5)/10)*1+INT((서책입력!R94+5)/10)*1+INT((서책입력!S94+5)/10)*2+INT((서책입력!V94+5)/10)*5+INT((서책입력!W94+5)/10)*2+INT((서책입력!X94+5)/10)*1+INT((서책입력!Z94+5)/10)*2</f>
        <v>15</v>
      </c>
      <c r="I7" s="124">
        <f>H7+G7</f>
        <v>104</v>
      </c>
      <c r="J7" s="125">
        <f>INT((서책입력!Q97+5)/10)*1+INT((서책입력!R97+5)/10)*1+INT((서책입력!S97+5)/10)*2+INT((서책입력!V97+5)/10)*5+INT((서책입력!W97+5)/10)*2+INT((서책입력!X97+5)/10)*1+INT((서책입력!Z97+5)/10)*2-H7</f>
        <v>11</v>
      </c>
      <c r="K7" s="98">
        <f>I7+J7</f>
        <v>115</v>
      </c>
      <c r="L7" s="125">
        <f>INT((서책입력!Q100+5)/10)*1+INT((서책입력!R100+5)/10)*1+INT((서책입력!S100+5)/10)*2+INT((서책입력!V100+5)/10)*5+INT((서책입력!W100+5)/10)*2+INT((서책입력!X100+5)/10)*1+INT((서책입력!Z100+5)/10)*2-J7-H7</f>
        <v>0</v>
      </c>
      <c r="M7" s="98">
        <f>K7+L7</f>
        <v>115</v>
      </c>
      <c r="N7" s="125">
        <f>INT((서책입력!Q103+5)/10)*1+INT((서책입력!R103+5)/10)*1+INT((서책입력!S103+5)/10)*2+INT((서책입력!V103+5)/10)*5+INT((서책입력!W103+5)/10)*2+INT((서책입력!X103+5)/10)*1+INT((서책입력!Z103+5)/10)*2-L7-J7-H7</f>
        <v>0</v>
      </c>
      <c r="O7" s="98">
        <f>N7+M7</f>
        <v>115</v>
      </c>
      <c r="P7" s="125">
        <f>INT((서책입력!Q106+5)/10)*1+INT((서책입력!R106+5)/10)*1+INT((서책입력!S106+5)/10)*2+INT((서책입력!V106+5)/10)*5+INT((서책입력!W106+5)/10)*2+INT((서책입력!X106+5)/10)*1+INT((서책입력!Z106+5)/10)*2-L7-J7-H7-N7</f>
        <v>0</v>
      </c>
      <c r="Q7" s="98">
        <f>P7+O7</f>
        <v>115</v>
      </c>
      <c r="R7" s="125">
        <f>INT((서책입력!Q109+5)/10)*1+INT((서책입력!R109+5)/10)*1+INT((서책입력!S109+5)/10)*2+INT((서책입력!V109+5)/10)*5+INT((서책입력!W109+5)/10)*2+INT((서책입력!X109+5)/10)*1+INT((서책입력!Z109+5)/10)*2-L7-J7-H7-N7-P7</f>
        <v>0</v>
      </c>
      <c r="S7" s="134">
        <f>R7+Q7</f>
        <v>115</v>
      </c>
      <c r="U7" s="152"/>
      <c r="V7" s="153"/>
      <c r="W7" s="153"/>
      <c r="X7" s="153"/>
      <c r="Y7" s="153"/>
      <c r="Z7" s="153"/>
      <c r="AA7" s="153"/>
      <c r="AB7" s="153"/>
      <c r="AC7" s="151"/>
      <c r="AH7" s="197" t="s">
        <v>765</v>
      </c>
      <c r="AI7" s="198" t="s">
        <v>766</v>
      </c>
      <c r="AJ7" s="199" t="s">
        <v>717</v>
      </c>
      <c r="AK7" s="199" t="s">
        <v>718</v>
      </c>
      <c r="AL7" s="199" t="s">
        <v>719</v>
      </c>
      <c r="AM7" s="200" t="s">
        <v>723</v>
      </c>
      <c r="AN7" s="201" t="s">
        <v>722</v>
      </c>
      <c r="AO7" s="201" t="s">
        <v>721</v>
      </c>
      <c r="AP7" s="201" t="s">
        <v>720</v>
      </c>
      <c r="AQ7" s="201" t="s">
        <v>724</v>
      </c>
      <c r="AR7" s="201" t="s">
        <v>725</v>
      </c>
      <c r="AS7" s="202" t="s">
        <v>726</v>
      </c>
    </row>
    <row r="8" spans="1:45" x14ac:dyDescent="0.3">
      <c r="A8" s="251" t="str">
        <f t="array" ref="A8">IF(AND($D$5="", $D$6=""), "", IFERROR(INDEX(표1_3[책이름], SMALL(IF((표1_3[기록]="X") * (표1_3[5차성장]="O"), ROW(표1_3[책이름])-ROW(서책입력!$D$3)+1), ROW(A1))), ""))</f>
        <v/>
      </c>
      <c r="B8" s="248" t="str">
        <f t="array" ref="B8">IF(AND($D$5="", $D$6=""), "", IFERROR(INDEX(표1_3[내 책 등급], SMALL(IF((표1_3[기록]="X") * (표1_3[5차성장]="O"), ROW(표1_3[내 책 등급])-ROW(서책입력!$D$3)+1), ROW(A1))), ""))</f>
        <v/>
      </c>
      <c r="C8" s="252">
        <f>VLOOKUP(A5,표3[[#All],[명장]:[체력]],12,FALSE)</f>
        <v>109</v>
      </c>
      <c r="D8" s="307" t="str">
        <f t="array" ref="D8">IF(AND($D$5="", $D$6=""), "", IFERROR(INDEX(표1_3[조건], SMALL(IF((표1_3[기록]="X") * (표1_3[5차성장]="O"), ROW(표1_3[조건])-ROW(서책입력!$D$3)+1), ROW(A1))) &amp; " " &amp; INDEX(표1_3[수치], SMALL(IF((표1_3[기록]="X") * (표1_3[5차성장]="O"), ROW(표1_3[조건])-ROW(서책입력!$D$3)+1), ROW(A1))), ""))</f>
        <v/>
      </c>
      <c r="E8" s="307"/>
      <c r="F8" s="235" t="s">
        <v>177</v>
      </c>
      <c r="G8" s="110">
        <f>C8+E8</f>
        <v>109</v>
      </c>
      <c r="H8" s="116">
        <f>INT((서책입력!S94+5)/10)*2+INT((서책입력!T94+5)/10)*2+INT((서책입력!U94+5)/10)*4+INT((서책입력!X94+5)/10)*3+INT((서책입력!Y94+5)/10)*2+INT((서책입력!Z94+5)/10)*1</f>
        <v>18</v>
      </c>
      <c r="I8" s="124">
        <f>H8+G8</f>
        <v>127</v>
      </c>
      <c r="J8" s="125">
        <f>INT((서책입력!S97+5)/10)*2+INT((서책입력!T97+5)/10)*2+INT((서책입력!U97+5)/10)*4+INT((서책입력!X97+5)/10)*3+INT((서책입력!Y97+5)/10)*2+INT((서책입력!Z97+5)/10)*1-H8</f>
        <v>2</v>
      </c>
      <c r="K8" s="98">
        <f>I8+J8</f>
        <v>129</v>
      </c>
      <c r="L8" s="125">
        <f>INT((서책입력!S100+5)/10)*2+INT((서책입력!T100+5)/10)*2+INT((서책입력!U100+5)/10)*4+INT((서책입력!X100+5)/10)*3+INT((서책입력!Y100+5)/10)*2+INT((서책입력!Z100+5)/10)*1-J8-H8</f>
        <v>0</v>
      </c>
      <c r="M8" s="98">
        <f>K8+L8</f>
        <v>129</v>
      </c>
      <c r="N8" s="125">
        <f>INT((서책입력!S103+5)/10)*2+INT((서책입력!T103+5)/10)*2+INT((서책입력!U103+5)/10)*4+INT((서책입력!X103+5)/10)*3+INT((서책입력!Y103+5)/10)*2+INT((서책입력!Z103+5)/10)*1-L8-J8-H8</f>
        <v>0</v>
      </c>
      <c r="O8" s="98">
        <f>N8+M8</f>
        <v>129</v>
      </c>
      <c r="P8" s="125">
        <f>INT((서책입력!S106+5)/10)*2+INT((서책입력!T106+5)/10)*2+INT((서책입력!U106+5)/10)*4+INT((서책입력!X106+5)/10)*3+INT((서책입력!Y106+5)/10)*2+INT((서책입력!Z106+5)/10)*1-L8-J8-H8-N8</f>
        <v>0</v>
      </c>
      <c r="Q8" s="98">
        <f>P8+O8</f>
        <v>129</v>
      </c>
      <c r="R8" s="125">
        <f>INT((서책입력!S109+5)/10)*2+INT((서책입력!T109+5)/10)*2+INT((서책입력!U109+5)/10)*4+INT((서책입력!X109+5)/10)*3+INT((서책입력!Y109+5)/10)*2+INT((서책입력!Z109+5)/10)*1-L8-J8-H8-N8-P8</f>
        <v>0</v>
      </c>
      <c r="S8" s="134">
        <f>R8+Q8</f>
        <v>129</v>
      </c>
      <c r="U8" s="152"/>
      <c r="V8" s="153"/>
      <c r="W8" s="153"/>
      <c r="X8" s="153"/>
      <c r="Y8" s="153"/>
      <c r="Z8" s="153"/>
      <c r="AA8" s="153"/>
      <c r="AB8" s="153"/>
      <c r="AC8" s="151"/>
    </row>
    <row r="9" spans="1:45" x14ac:dyDescent="0.3">
      <c r="A9" s="251" t="str">
        <f t="array" ref="A9">IF(AND($D$5="", $D$6=""), "", IFERROR(INDEX(표1_3[책이름], SMALL(IF((표1_3[기록]="X") * (표1_3[5차성장]="O"), ROW(표1_3[책이름])-ROW(서책입력!$D$3)+1), ROW(A2))), ""))</f>
        <v/>
      </c>
      <c r="B9" s="248" t="str">
        <f t="array" ref="B9">IF(AND($D$5="", $D$6=""), "", IFERROR(INDEX(표1_3[내 책 등급], SMALL(IF((표1_3[기록]="X") * (표1_3[5차성장]="O"), ROW(표1_3[내 책 등급])-ROW(서책입력!$D$3)+1), ROW(A2))), ""))</f>
        <v/>
      </c>
      <c r="C9" s="253">
        <f>VLOOKUP(A5, 표3[[#All],[명장]:[나라2]], 13, FALSE)</f>
        <v>1</v>
      </c>
      <c r="D9" s="304" t="str">
        <f t="array" ref="D9">IF(AND($D$5="", $D$6=""), "", IFERROR(INDEX(표1_3[조건], SMALL(IF((표1_3[기록]="X") * (표1_3[5차성장]="O"), ROW(표1_3[조건])-ROW(서책입력!$D$3)+1), ROW(A2))) &amp; " " &amp; INDEX(표1_3[수치], SMALL(IF((표1_3[기록]="X") * (표1_3[5차성장]="O"), ROW(표1_3[조건])-ROW(서책입력!$D$3)+1), ROW(A2))), ""))</f>
        <v/>
      </c>
      <c r="E9" s="304"/>
      <c r="F9" s="235"/>
      <c r="G9" s="110"/>
      <c r="H9" s="117"/>
      <c r="I9" s="112"/>
      <c r="J9" s="125"/>
      <c r="K9" s="98"/>
      <c r="L9" s="125"/>
      <c r="M9" s="98"/>
      <c r="N9" s="125"/>
      <c r="O9" s="98"/>
      <c r="P9" s="125"/>
      <c r="Q9" s="98"/>
      <c r="R9" s="125"/>
      <c r="S9" s="134"/>
      <c r="U9" s="152"/>
      <c r="V9" s="153"/>
      <c r="W9" s="153"/>
      <c r="X9" s="153"/>
      <c r="Y9" s="153"/>
      <c r="Z9" s="153"/>
      <c r="AA9" s="153"/>
      <c r="AB9" s="153"/>
      <c r="AC9" s="151"/>
    </row>
    <row r="10" spans="1:45" ht="17.25" thickBot="1" x14ac:dyDescent="0.35">
      <c r="A10" s="251" t="str">
        <f t="array" ref="A10">IF(AND($D$5="", $D$6=""), "", IFERROR(INDEX(표1_3[책이름], SMALL(IF((표1_3[기록]="X") * (표1_3[5차성장]="O"), ROW(표1_3[책이름])-ROW(서책입력!$D$3)+1), ROW(A3))), ""))</f>
        <v/>
      </c>
      <c r="B10" s="248" t="str">
        <f t="array" ref="B10">IF(AND($D$5="", $D$6=""), "", IFERROR(INDEX(표1_3[내 책 등급], SMALL(IF((표1_3[기록]="X") * (표1_3[5차성장]="O"), ROW(표1_3[내 책 등급])-ROW(서책입력!$D$3)+1), ROW(A3))), ""))</f>
        <v/>
      </c>
      <c r="C10" s="254" t="str">
        <f>VLOOKUP(A5, 표3[[#All],[명장]:[나라2]], 14, FALSE)</f>
        <v>촉</v>
      </c>
      <c r="D10" s="304" t="str">
        <f t="array" ref="D10">IF(AND($D$5="", $D$6=""), "", IFERROR(INDEX(표1_3[조건], SMALL(IF((표1_3[기록]="X") * (표1_3[5차성장]="O"), ROW(표1_3[조건])-ROW(서책입력!$D$3)+1), ROW(A3))) &amp; " " &amp; INDEX(표1_3[수치], SMALL(IF((표1_3[기록]="X") * (표1_3[5차성장]="O"), ROW(표1_3[조건])-ROW(서책입력!$D$3)+1), ROW(A3))), ""))</f>
        <v/>
      </c>
      <c r="E10" s="304"/>
      <c r="F10" s="236"/>
      <c r="G10" s="111"/>
      <c r="H10" s="118"/>
      <c r="I10" s="123"/>
      <c r="J10" s="126"/>
      <c r="K10" s="99"/>
      <c r="L10" s="126"/>
      <c r="M10" s="99"/>
      <c r="N10" s="126"/>
      <c r="O10" s="99"/>
      <c r="P10" s="126"/>
      <c r="Q10" s="99"/>
      <c r="R10" s="126"/>
      <c r="S10" s="135"/>
      <c r="U10" s="155"/>
      <c r="V10" s="156"/>
      <c r="W10" s="156"/>
      <c r="X10" s="156"/>
      <c r="Y10" s="156"/>
      <c r="Z10" s="156"/>
      <c r="AA10" s="156"/>
      <c r="AB10" s="156"/>
      <c r="AC10" s="157"/>
    </row>
    <row r="11" spans="1:45" x14ac:dyDescent="0.3">
      <c r="A11" s="251" t="str">
        <f t="array" ref="A11">IF(AND($D$5="", $D$6=""), "", IFERROR(INDEX(표1_3[책이름], SMALL(IF((표1_3[기록]="X") * (표1_3[5차성장]="O"), ROW(표1_3[책이름])-ROW(서책입력!$D$3)+1), ROW(A4))), ""))</f>
        <v/>
      </c>
      <c r="B11" s="248" t="str">
        <f t="array" ref="B11">IF(AND($D$5="", $D$6=""), "", IFERROR(INDEX(표1_3[내 책 등급], SMALL(IF((표1_3[기록]="X") * (표1_3[5차성장]="O"), ROW(표1_3[내 책 등급])-ROW(서책입력!$D$3)+1), ROW(A4))), ""))</f>
        <v/>
      </c>
      <c r="C11" s="82"/>
      <c r="D11" s="304" t="str">
        <f t="array" ref="D11">IF(AND($D$5="", $D$6=""), "", IFERROR(INDEX(표1_3[조건], SMALL(IF((표1_3[기록]="X") * (표1_3[5차성장]="O"), ROW(표1_3[조건])-ROW(서책입력!$D$3)+1), ROW(A4))) &amp; " " &amp; INDEX(표1_3[수치], SMALL(IF((표1_3[기록]="X") * (표1_3[5차성장]="O"), ROW(표1_3[조건])-ROW(서책입력!$D$3)+1), ROW(A4))), ""))</f>
        <v/>
      </c>
      <c r="E11" s="30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98"/>
      <c r="U11" s="291">
        <f>C27</f>
        <v>34</v>
      </c>
      <c r="V11" s="292"/>
      <c r="W11" s="153"/>
      <c r="X11" s="154">
        <f>C28</f>
        <v>46</v>
      </c>
      <c r="Y11" s="153"/>
      <c r="Z11" s="292">
        <f>C29</f>
        <v>41</v>
      </c>
      <c r="AA11" s="292"/>
      <c r="AB11" s="292">
        <f>C30</f>
        <v>10</v>
      </c>
      <c r="AC11" s="293"/>
    </row>
    <row r="12" spans="1:45" x14ac:dyDescent="0.3">
      <c r="A12" s="251" t="str">
        <f t="array" ref="A12">IF(AND($D$5="", $D$6=""), "", IFERROR(INDEX(표1_3[책이름], SMALL(IF((표1_3[기록]="X") * (표1_3[5차성장]="O"), ROW(표1_3[책이름])-ROW(서책입력!$D$3)+1), ROW(A5))), ""))</f>
        <v/>
      </c>
      <c r="B12" s="248" t="str">
        <f t="array" ref="B12">IF(AND($D$5="", $D$6=""), "", IFERROR(INDEX(표1_3[내 책 등급], SMALL(IF((표1_3[기록]="X") * (표1_3[5차성장]="O"), ROW(표1_3[내 책 등급])-ROW(서책입력!$D$3)+1), ROW(A5))), ""))</f>
        <v/>
      </c>
      <c r="C12" s="4"/>
      <c r="D12" s="304" t="str">
        <f t="array" ref="D12">IF(AND($D$5="", $D$6=""), "", IFERROR(INDEX(표1_3[조건], SMALL(IF((표1_3[기록]="X") * (표1_3[5차성장]="O"), ROW(표1_3[조건])-ROW(서책입력!$D$3)+1), ROW(A5))) &amp; " " &amp; INDEX(표1_3[수치], SMALL(IF((표1_3[기록]="X") * (표1_3[5차성장]="O"), ROW(표1_3[조건])-ROW(서책입력!$D$3)+1), ROW(A5))), ""))</f>
        <v/>
      </c>
      <c r="E12" s="30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98"/>
      <c r="U12" s="152"/>
      <c r="V12" s="153"/>
      <c r="W12" s="153"/>
      <c r="X12" s="153"/>
      <c r="Y12" s="153"/>
      <c r="Z12" s="153"/>
      <c r="AA12" s="153"/>
      <c r="AB12" s="153"/>
      <c r="AC12" s="151"/>
    </row>
    <row r="13" spans="1:45" x14ac:dyDescent="0.3">
      <c r="A13" s="251" t="str">
        <f t="array" ref="A13">IF(AND($D$5="", $D$6=""), "", IFERROR(INDEX(표1_3[책이름], SMALL(IF((표1_3[기록]="X") * (표1_3[5차성장]="O"), ROW(표1_3[책이름])-ROW(서책입력!$D$3)+1), ROW(A6))), ""))</f>
        <v/>
      </c>
      <c r="B13" s="248" t="str">
        <f t="array" ref="B13">IF(AND($D$5="", $D$6=""), "", IFERROR(INDEX(표1_3[내 책 등급], SMALL(IF((표1_3[기록]="X") * (표1_3[5차성장]="O"), ROW(표1_3[내 책 등급])-ROW(서책입력!$D$3)+1), ROW(A6))), ""))</f>
        <v/>
      </c>
      <c r="C13" s="4"/>
      <c r="D13" s="304" t="str">
        <f t="array" ref="D13">IF(AND($D$5="", $D$6=""), "", IFERROR(INDEX(표1_3[조건], SMALL(IF((표1_3[기록]="X") * (표1_3[5차성장]="O"), ROW(표1_3[조건])-ROW(서책입력!$D$3)+1), ROW(A6))) &amp; " " &amp; INDEX(표1_3[수치], SMALL(IF((표1_3[기록]="X") * (표1_3[5차성장]="O"), ROW(표1_3[조건])-ROW(서책입력!$D$3)+1), ROW(A6))), ""))</f>
        <v/>
      </c>
      <c r="E13" s="30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98"/>
      <c r="U13" s="152"/>
      <c r="V13" s="153"/>
      <c r="W13" s="153"/>
      <c r="X13" s="153"/>
      <c r="Y13" s="153"/>
      <c r="Z13" s="153"/>
      <c r="AA13" s="153"/>
      <c r="AB13" s="153"/>
      <c r="AC13" s="151"/>
    </row>
    <row r="14" spans="1:45" x14ac:dyDescent="0.3">
      <c r="A14" s="251" t="str">
        <f t="array" ref="A14">IF(AND($D$5="", $D$6=""), "", IFERROR(INDEX(표1_3[책이름], SMALL(IF((표1_3[기록]="X") * (표1_3[5차성장]="O"), ROW(표1_3[책이름])-ROW(서책입력!$D$3)+1), ROW(A7))), ""))</f>
        <v/>
      </c>
      <c r="B14" s="248" t="str">
        <f t="array" ref="B14">IF(AND($D$5="", $D$6=""), "", IFERROR(INDEX(표1_3[내 책 등급], SMALL(IF((표1_3[기록]="X") * (표1_3[5차성장]="O"), ROW(표1_3[내 책 등급])-ROW(서책입력!$D$3)+1), ROW(A7))), ""))</f>
        <v/>
      </c>
      <c r="C14" s="4"/>
      <c r="D14" s="304" t="str">
        <f t="array" ref="D14">IF(AND($D$5="", $D$6=""), "", IFERROR(INDEX(표1_3[조건], SMALL(IF((표1_3[기록]="X") * (표1_3[5차성장]="O"), ROW(표1_3[조건])-ROW(서책입력!$D$3)+1), ROW(A7))) &amp; " " &amp; INDEX(표1_3[수치], SMALL(IF((표1_3[기록]="X") * (표1_3[5차성장]="O"), ROW(표1_3[조건])-ROW(서책입력!$D$3)+1), ROW(A7))), ""))</f>
        <v/>
      </c>
      <c r="E14" s="30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98"/>
      <c r="U14" s="152"/>
      <c r="V14" s="153"/>
      <c r="W14" s="153"/>
      <c r="X14" s="153"/>
      <c r="Y14" s="153"/>
      <c r="Z14" s="153"/>
      <c r="AA14" s="153"/>
      <c r="AB14" s="153"/>
      <c r="AC14" s="151"/>
    </row>
    <row r="15" spans="1:45" x14ac:dyDescent="0.3">
      <c r="A15" s="251" t="str">
        <f t="array" ref="A15">IF(AND($D$5="", $D$6=""), "", IFERROR(INDEX(표1_3[책이름], SMALL(IF((표1_3[기록]="X") * (표1_3[5차성장]="O"), ROW(표1_3[책이름])-ROW(서책입력!$D$3)+1), ROW(A8))), ""))</f>
        <v/>
      </c>
      <c r="B15" s="248" t="str">
        <f t="array" ref="B15">IF(AND($D$5="", $D$6=""), "", IFERROR(INDEX(표1_3[내 책 등급], SMALL(IF((표1_3[기록]="X") * (표1_3[5차성장]="O"), ROW(표1_3[내 책 등급])-ROW(서책입력!$D$3)+1), ROW(A8))), ""))</f>
        <v/>
      </c>
      <c r="C15" s="4"/>
      <c r="D15" s="304" t="str">
        <f t="array" ref="D15">IF(AND($D$5="", $D$6=""), "", IFERROR(INDEX(표1_3[조건], SMALL(IF((표1_3[기록]="X") * (표1_3[5차성장]="O"), ROW(표1_3[조건])-ROW(서책입력!$D$3)+1), ROW(A8))) &amp; " " &amp; INDEX(표1_3[수치], SMALL(IF((표1_3[기록]="X") * (표1_3[5차성장]="O"), ROW(표1_3[조건])-ROW(서책입력!$D$3)+1), ROW(A8))), ""))</f>
        <v/>
      </c>
      <c r="E15" s="30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98"/>
      <c r="U15" s="152"/>
      <c r="V15" s="153"/>
      <c r="W15" s="153"/>
      <c r="X15" s="153"/>
      <c r="Y15" s="153"/>
      <c r="Z15" s="153"/>
      <c r="AA15" s="153"/>
      <c r="AB15" s="153"/>
      <c r="AC15" s="151"/>
    </row>
    <row r="16" spans="1:45" x14ac:dyDescent="0.3">
      <c r="A16" s="251" t="str">
        <f t="array" ref="A16">IF(AND($D$5="", $D$6=""), "", IFERROR(INDEX(표1_3[책이름], SMALL(IF((표1_3[기록]="X") * (표1_3[5차성장]="O"), ROW(표1_3[책이름])-ROW(서책입력!$D$3)+1), ROW(A9))), ""))</f>
        <v/>
      </c>
      <c r="B16" s="248" t="str">
        <f t="array" ref="B16">IF(AND($D$5="", $D$6=""), "", IFERROR(INDEX(표1_3[내 책 등급], SMALL(IF((표1_3[기록]="X") * (표1_3[5차성장]="O"), ROW(표1_3[내 책 등급])-ROW(서책입력!$D$3)+1), ROW(A9))), ""))</f>
        <v/>
      </c>
      <c r="C16" s="4"/>
      <c r="D16" s="304" t="str">
        <f t="array" ref="D16">IF(AND($D$5="", $D$6=""), "", IFERROR(INDEX(표1_3[조건], SMALL(IF((표1_3[기록]="X") * (표1_3[5차성장]="O"), ROW(표1_3[조건])-ROW(서책입력!$D$3)+1), ROW(A9))) &amp; " " &amp; INDEX(표1_3[수치], SMALL(IF((표1_3[기록]="X") * (표1_3[5차성장]="O"), ROW(표1_3[조건])-ROW(서책입력!$D$3)+1), ROW(A9))), ""))</f>
        <v/>
      </c>
      <c r="E16" s="30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98"/>
      <c r="U16" s="294">
        <f>C31</f>
        <v>11</v>
      </c>
      <c r="V16" s="289"/>
      <c r="W16" s="153"/>
      <c r="X16" s="154">
        <f>C32</f>
        <v>10</v>
      </c>
      <c r="Y16" s="153"/>
      <c r="Z16" s="289">
        <f>C33</f>
        <v>12</v>
      </c>
      <c r="AA16" s="289"/>
      <c r="AB16" s="289">
        <f>C34</f>
        <v>14</v>
      </c>
      <c r="AC16" s="290"/>
    </row>
    <row r="17" spans="1:29" x14ac:dyDescent="0.3">
      <c r="A17" s="251" t="str">
        <f t="array" ref="A17">IF(AND($D$5="", $D$6=""), "", IFERROR(INDEX(표1_3[책이름], SMALL(IF((표1_3[기록]="X") * (표1_3[5차성장]="O"), ROW(표1_3[책이름])-ROW(서책입력!$D$3)+1), ROW(A10))), ""))</f>
        <v/>
      </c>
      <c r="B17" s="248" t="str">
        <f t="array" ref="B17">IF(AND($D$5="", $D$6=""), "", IFERROR(INDEX(표1_3[내 책 등급], SMALL(IF((표1_3[기록]="X") * (표1_3[5차성장]="O"), ROW(표1_3[내 책 등급])-ROW(서책입력!$D$3)+1), ROW(A10))), ""))</f>
        <v/>
      </c>
      <c r="C17" s="4"/>
      <c r="D17" s="304" t="str">
        <f t="array" ref="D17">IF(AND($D$5="", $D$6=""), "", IFERROR(INDEX(표1_3[조건], SMALL(IF((표1_3[기록]="X") * (표1_3[5차성장]="O"), ROW(표1_3[조건])-ROW(서책입력!$D$3)+1), ROW(A10))) &amp; " " &amp; INDEX(표1_3[수치], SMALL(IF((표1_3[기록]="X") * (표1_3[5차성장]="O"), ROW(표1_3[조건])-ROW(서책입력!$D$3)+1), ROW(A10))), ""))</f>
        <v/>
      </c>
      <c r="E17" s="30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98"/>
      <c r="U17" s="152"/>
      <c r="V17" s="153"/>
      <c r="W17" s="153"/>
      <c r="X17" s="153"/>
      <c r="Y17" s="153"/>
      <c r="Z17" s="153"/>
      <c r="AA17" s="153"/>
      <c r="AB17" s="153"/>
      <c r="AC17" s="151"/>
    </row>
    <row r="18" spans="1:29" x14ac:dyDescent="0.3">
      <c r="A18" s="251" t="str">
        <f t="array" ref="A18">IF(AND($D$5="", $D$6=""), "", IFERROR(INDEX(표1_3[책이름], SMALL(IF((표1_3[기록]="X") * (표1_3[5차성장]="O"), ROW(표1_3[책이름])-ROW(서책입력!$D$3)+1), ROW(A11))), ""))</f>
        <v/>
      </c>
      <c r="B18" s="248" t="str">
        <f t="array" ref="B18">IF(AND($D$5="", $D$6=""), "", IFERROR(INDEX(표1_3[내 책 등급], SMALL(IF((표1_3[기록]="X") * (표1_3[5차성장]="O"), ROW(표1_3[내 책 등급])-ROW(서책입력!$D$3)+1), ROW(A11))), ""))</f>
        <v/>
      </c>
      <c r="C18" s="4"/>
      <c r="D18" s="304" t="str">
        <f t="array" ref="D18">IF(AND($D$5="", $D$6=""), "", IFERROR(INDEX(표1_3[조건], SMALL(IF((표1_3[기록]="X") * (표1_3[5차성장]="O"), ROW(표1_3[조건])-ROW(서책입력!$D$3)+1), ROW(A11))) &amp; " " &amp; INDEX(표1_3[수치], SMALL(IF((표1_3[기록]="X") * (표1_3[5차성장]="O"), ROW(표1_3[조건])-ROW(서책입력!$D$3)+1), ROW(A11))), ""))</f>
        <v/>
      </c>
      <c r="E18" s="30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98"/>
      <c r="U18" s="152"/>
      <c r="V18" s="153"/>
      <c r="W18" s="153"/>
      <c r="X18" s="153"/>
      <c r="Y18" s="153"/>
      <c r="Z18" s="153"/>
      <c r="AA18" s="153"/>
      <c r="AB18" s="153"/>
      <c r="AC18" s="151"/>
    </row>
    <row r="19" spans="1:29" x14ac:dyDescent="0.3">
      <c r="A19" s="251" t="str">
        <f t="array" ref="A19">IF(AND($D$5="", $D$6=""), "", IFERROR(INDEX(표1_3[책이름], SMALL(IF((표1_3[기록]="X") * (표1_3[5차성장]="O"), ROW(표1_3[책이름])-ROW(서책입력!$D$3)+1), ROW(A12))), ""))</f>
        <v/>
      </c>
      <c r="B19" s="248" t="str">
        <f t="array" ref="B19">IF(AND($D$5="", $D$6=""), "", IFERROR(INDEX(표1_3[내 책 등급], SMALL(IF((표1_3[기록]="X") * (표1_3[5차성장]="O"), ROW(표1_3[내 책 등급])-ROW(서책입력!$D$3)+1), ROW(A12))), ""))</f>
        <v/>
      </c>
      <c r="C19" s="4"/>
      <c r="D19" s="304" t="str">
        <f t="array" ref="D19">IF(AND($D$5="", $D$6=""), "", IFERROR(INDEX(표1_3[조건], SMALL(IF((표1_3[기록]="X") * (표1_3[5차성장]="O"), ROW(표1_3[조건])-ROW(서책입력!$D$3)+1), ROW(A12))) &amp; " " &amp; INDEX(표1_3[수치], SMALL(IF((표1_3[기록]="X") * (표1_3[5차성장]="O"), ROW(표1_3[조건])-ROW(서책입력!$D$3)+1), ROW(A12))), ""))</f>
        <v/>
      </c>
      <c r="E19" s="30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98"/>
      <c r="U19" s="152"/>
      <c r="V19" s="153"/>
      <c r="W19" s="153"/>
      <c r="X19" s="153"/>
      <c r="Y19" s="153"/>
      <c r="Z19" s="153"/>
      <c r="AA19" s="153"/>
      <c r="AB19" s="153"/>
      <c r="AC19" s="151"/>
    </row>
    <row r="20" spans="1:29" x14ac:dyDescent="0.3">
      <c r="A20" s="251" t="str">
        <f t="array" ref="A20">IF(AND($D$5="", $D$6=""), "", IFERROR(INDEX(표1_3[책이름], SMALL(IF((표1_3[기록]="X") * (표1_3[5차성장]="O"), ROW(표1_3[책이름])-ROW(서책입력!$D$3)+1), ROW(A13))), ""))</f>
        <v/>
      </c>
      <c r="B20" s="248" t="str">
        <f t="array" ref="B20">IF(AND($D$5="", $D$6=""), "", IFERROR(INDEX(표1_3[내 책 등급], SMALL(IF((표1_3[기록]="X") * (표1_3[5차성장]="O"), ROW(표1_3[내 책 등급])-ROW(서책입력!$D$3)+1), ROW(A13))), ""))</f>
        <v/>
      </c>
      <c r="C20" s="4"/>
      <c r="D20" s="304" t="str">
        <f t="array" ref="D20">IF(AND($D$5="", $D$6=""), "", IFERROR(INDEX(표1_3[조건], SMALL(IF((표1_3[기록]="X") * (표1_3[5차성장]="O"), ROW(표1_3[조건])-ROW(서책입력!$D$3)+1), ROW(A13))) &amp; " " &amp; INDEX(표1_3[수치], SMALL(IF((표1_3[기록]="X") * (표1_3[5차성장]="O"), ROW(표1_3[조건])-ROW(서책입력!$D$3)+1), ROW(A13))), ""))</f>
        <v/>
      </c>
      <c r="E20" s="30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98"/>
      <c r="U20" s="152"/>
      <c r="V20" s="153"/>
      <c r="W20" s="153"/>
      <c r="X20" s="153"/>
      <c r="Y20" s="153"/>
      <c r="Z20" s="153"/>
      <c r="AA20" s="153"/>
      <c r="AB20" s="153"/>
      <c r="AC20" s="151"/>
    </row>
    <row r="21" spans="1:29" x14ac:dyDescent="0.3">
      <c r="A21" s="251" t="str">
        <f t="array" ref="A21">IF(AND($D$5="", $D$6=""), "", IFERROR(INDEX(표1_3[책이름], SMALL(IF((표1_3[기록]="X") * (표1_3[5차성장]="O"), ROW(표1_3[책이름])-ROW(서책입력!$D$3)+1), ROW(A14))), ""))</f>
        <v/>
      </c>
      <c r="B21" s="248" t="str">
        <f t="array" ref="B21">IF(AND($D$5="", $D$6=""), "", IFERROR(INDEX(표1_3[내 책 등급], SMALL(IF((표1_3[기록]="X") * (표1_3[5차성장]="O"), ROW(표1_3[내 책 등급])-ROW(서책입력!$D$3)+1), ROW(A14))), ""))</f>
        <v/>
      </c>
      <c r="C21" s="4"/>
      <c r="D21" s="304" t="str">
        <f t="array" ref="D21">IF(AND($D$5="", $D$6=""), "", IFERROR(INDEX(표1_3[조건], SMALL(IF((표1_3[기록]="X") * (표1_3[5차성장]="O"), ROW(표1_3[조건])-ROW(서책입력!$D$3)+1), ROW(A14))) &amp; " " &amp; INDEX(표1_3[수치], SMALL(IF((표1_3[기록]="X") * (표1_3[5차성장]="O"), ROW(표1_3[조건])-ROW(서책입력!$D$3)+1), ROW(A14))), ""))</f>
        <v/>
      </c>
      <c r="E21" s="30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98"/>
      <c r="U21" s="294">
        <f>C35</f>
        <v>13</v>
      </c>
      <c r="V21" s="289"/>
      <c r="W21" s="153"/>
      <c r="X21" s="154">
        <f>C36</f>
        <v>11</v>
      </c>
      <c r="Y21" s="153"/>
      <c r="Z21" s="289"/>
      <c r="AA21" s="289"/>
      <c r="AB21" s="289"/>
      <c r="AC21" s="290"/>
    </row>
    <row r="22" spans="1:29" x14ac:dyDescent="0.3">
      <c r="A22" s="251" t="str">
        <f t="array" ref="A22">IF(AND($D$5="", $D$6=""), "", IFERROR(INDEX(표1_3[책이름], SMALL(IF((표1_3[기록]="X") * (표1_3[5차성장]="O"), ROW(표1_3[책이름])-ROW(서책입력!$D$3)+1), ROW(A15))), ""))</f>
        <v/>
      </c>
      <c r="B22" s="248" t="str">
        <f t="array" ref="B22">IF(AND($D$5="", $D$6=""), "", IFERROR(INDEX(표1_3[내 책 등급], SMALL(IF((표1_3[기록]="X") * (표1_3[5차성장]="O"), ROW(표1_3[내 책 등급])-ROW(서책입력!$D$3)+1), ROW(A15))), ""))</f>
        <v/>
      </c>
      <c r="C22" s="4"/>
      <c r="D22" s="304" t="str">
        <f t="array" ref="D22">IF(AND($D$5="", $D$6=""), "", IFERROR(INDEX(표1_3[조건], SMALL(IF((표1_3[기록]="X") * (표1_3[5차성장]="O"), ROW(표1_3[조건])-ROW(서책입력!$D$3)+1), ROW(A15))) &amp; " " &amp; INDEX(표1_3[수치], SMALL(IF((표1_3[기록]="X") * (표1_3[5차성장]="O"), ROW(표1_3[조건])-ROW(서책입력!$D$3)+1), ROW(A15))), ""))</f>
        <v/>
      </c>
      <c r="E22" s="30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98"/>
      <c r="U22" s="152"/>
      <c r="V22" s="153"/>
      <c r="W22" s="153"/>
      <c r="X22" s="153"/>
      <c r="Y22" s="153"/>
      <c r="Z22" s="153"/>
      <c r="AA22" s="153"/>
      <c r="AB22" s="153"/>
      <c r="AC22" s="151"/>
    </row>
    <row r="23" spans="1:29" x14ac:dyDescent="0.3">
      <c r="A23" s="251" t="str">
        <f t="array" ref="A23">IF(AND($D$5="", $D$6=""), "", IFERROR(INDEX(표1_3[책이름], SMALL(IF((표1_3[기록]="X") * (표1_3[5차성장]="O"), ROW(표1_3[책이름])-ROW(서책입력!$D$3)+1), ROW(A16))), ""))</f>
        <v/>
      </c>
      <c r="B23" s="248" t="str">
        <f t="array" ref="B23">IF(AND($D$5="", $D$6=""), "", IFERROR(INDEX(표1_3[내 책 등급], SMALL(IF((표1_3[기록]="X") * (표1_3[5차성장]="O"), ROW(표1_3[내 책 등급])-ROW(서책입력!$D$3)+1), ROW(A16))), ""))</f>
        <v/>
      </c>
      <c r="C23" s="4"/>
      <c r="D23" s="304" t="str">
        <f t="array" ref="D23">IF(AND($D$5="", $D$6=""), "", IFERROR(INDEX(표1_3[조건], SMALL(IF((표1_3[기록]="X") * (표1_3[5차성장]="O"), ROW(표1_3[조건])-ROW(서책입력!$D$3)+1), ROW(A16))) &amp; " " &amp; INDEX(표1_3[수치], SMALL(IF((표1_3[기록]="X") * (표1_3[5차성장]="O"), ROW(표1_3[조건])-ROW(서책입력!$D$3)+1), ROW(A16))), ""))</f>
        <v/>
      </c>
      <c r="E23" s="30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98"/>
      <c r="U23" s="152"/>
      <c r="V23" s="153"/>
      <c r="W23" s="153"/>
      <c r="X23" s="153"/>
      <c r="Y23" s="153"/>
      <c r="Z23" s="153"/>
      <c r="AA23" s="153"/>
      <c r="AB23" s="153"/>
      <c r="AC23" s="151"/>
    </row>
    <row r="24" spans="1:29" x14ac:dyDescent="0.3">
      <c r="A24" s="251" t="str">
        <f t="array" ref="A24">IF(AND($D$5="", $D$6=""), "", IFERROR(INDEX(표1_3[책이름], SMALL(IF((표1_3[기록]="X") * (표1_3[5차성장]="O"), ROW(표1_3[책이름])-ROW(서책입력!$D$3)+1), ROW(A17))), ""))</f>
        <v/>
      </c>
      <c r="B24" s="248" t="str">
        <f t="array" ref="B24">IF(AND($D$5="", $D$6=""), "", IFERROR(INDEX(표1_3[내 책 등급], SMALL(IF((표1_3[기록]="X") * (표1_3[5차성장]="O"), ROW(표1_3[내 책 등급])-ROW(서책입력!$D$3)+1), ROW(A17))), ""))</f>
        <v/>
      </c>
      <c r="C24" s="4"/>
      <c r="D24" s="304" t="str">
        <f t="array" ref="D24">IF(AND($D$5="", $D$6=""), "", IFERROR(INDEX(표1_3[조건], SMALL(IF((표1_3[기록]="X") * (표1_3[5차성장]="O"), ROW(표1_3[조건])-ROW(서책입력!$D$3)+1), ROW(A17))) &amp; " " &amp; INDEX(표1_3[수치], SMALL(IF((표1_3[기록]="X") * (표1_3[5차성장]="O"), ROW(표1_3[조건])-ROW(서책입력!$D$3)+1), ROW(A17))), ""))</f>
        <v/>
      </c>
      <c r="E24" s="30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98"/>
      <c r="U24" s="152"/>
      <c r="V24" s="153"/>
      <c r="W24" s="153"/>
      <c r="X24" s="153"/>
      <c r="Y24" s="153"/>
      <c r="Z24" s="153"/>
      <c r="AA24" s="153"/>
      <c r="AB24" s="153"/>
      <c r="AC24" s="151"/>
    </row>
    <row r="25" spans="1:29" ht="17.25" thickBot="1" x14ac:dyDescent="0.35">
      <c r="A25" s="251" t="str">
        <f t="array" ref="A25">IF(AND($D$5="", $D$6=""), "", IFERROR(INDEX(표1_3[책이름], SMALL(IF((표1_3[기록]="X") * (표1_3[5차성장]="O"), ROW(표1_3[책이름])-ROW(서책입력!$D$3)+1), ROW(A18))), ""))</f>
        <v/>
      </c>
      <c r="B25" s="248" t="str">
        <f t="array" ref="B25">IF(AND($D$5="", $D$6=""), "", IFERROR(INDEX(표1_3[내 책 등급], SMALL(IF((표1_3[기록]="X") * (표1_3[5차성장]="O"), ROW(표1_3[내 책 등급])-ROW(서책입력!$D$3)+1), ROW(A18))), ""))</f>
        <v/>
      </c>
      <c r="C25" s="4"/>
      <c r="D25" s="304" t="str">
        <f t="array" ref="D25">IF(AND($D$5="", $D$6=""), "", IFERROR(INDEX(표1_3[조건], SMALL(IF((표1_3[기록]="X") * (표1_3[5차성장]="O"), ROW(표1_3[조건])-ROW(서책입력!$D$3)+1), ROW(A18))) &amp; " " &amp; INDEX(표1_3[수치], SMALL(IF((표1_3[기록]="X") * (표1_3[5차성장]="O"), ROW(표1_3[조건])-ROW(서책입력!$D$3)+1), ROW(A18))), ""))</f>
        <v/>
      </c>
      <c r="E25" s="30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98"/>
      <c r="U25" s="155"/>
      <c r="V25" s="156"/>
      <c r="W25" s="156"/>
      <c r="X25" s="156"/>
      <c r="Y25" s="156"/>
      <c r="Z25" s="156"/>
      <c r="AA25" s="156"/>
      <c r="AB25" s="156"/>
      <c r="AC25" s="157"/>
    </row>
    <row r="26" spans="1:29" hidden="1" x14ac:dyDescent="0.3">
      <c r="A26" s="251" t="str">
        <f t="array" ref="A26">IF(AND($D$5="", $D$6=""), "", IFERROR(INDEX(표1_3[책이름], SMALL(IF((표1_3[기록]="X") * (표1_3[5차성장]="O"), ROW(표1_3[책이름])-ROW(서책입력!$D$3)+1), ROW(A19))), ""))</f>
        <v/>
      </c>
      <c r="B26" s="248" t="str">
        <f t="array" ref="B26">IF(AND($D$5="", $D$6=""), "", IFERROR(INDEX(표1_3[내 책 등급], SMALL(IF((표1_3[기록]="X") * (표1_3[5차성장]="O"), ROW(표1_3[내 책 등급])-ROW(서책입력!$D$3)+1), ROW(A19))), ""))</f>
        <v/>
      </c>
      <c r="C26" s="171" t="s">
        <v>4</v>
      </c>
      <c r="D26" s="269" t="str">
        <f t="array" ref="D26">IF(AND($D$5="", $D$6=""), "", IFERROR(INDEX(표1_3[조건], SMALL(IF((표1_3[기록]="X") * (표1_3[5차성장]="O"), ROW(표1_3[조건])-ROW(서책입력!$D$3)+1), ROW(A19))) &amp; " " &amp; INDEX(표1_3[수치], SMALL(IF((표1_3[기록]="X") * (표1_3[5차성장]="O"), ROW(표1_3[조건])-ROW(서책입력!$D$3)+1), ROW(A19))), ""))</f>
        <v/>
      </c>
      <c r="E26" s="269"/>
      <c r="F26" s="132"/>
      <c r="G26" s="132"/>
      <c r="H26" s="132"/>
      <c r="I26" s="132"/>
      <c r="J26" s="132"/>
      <c r="K26" s="132"/>
      <c r="L26" s="132"/>
      <c r="M26" s="132"/>
      <c r="N26" s="4"/>
      <c r="O26" s="4"/>
      <c r="P26" s="4"/>
      <c r="Q26" s="4"/>
      <c r="R26" s="4"/>
      <c r="S26" s="96"/>
    </row>
    <row r="27" spans="1:29" hidden="1" x14ac:dyDescent="0.3">
      <c r="A27" s="251" t="str">
        <f t="array" ref="A27">IF(AND($D$5="", $D$6=""), "", IFERROR(INDEX(표1_3[책이름], SMALL(IF((표1_3[기록]="X") * (표1_3[5차성장]="O"), ROW(표1_3[책이름])-ROW(서책입력!$D$3)+1), ROW(A20))), ""))</f>
        <v/>
      </c>
      <c r="B27" s="248" t="str">
        <f t="array" ref="B27">IF(AND($D$5="", $D$6=""), "", IFERROR(INDEX(표1_3[내 책 등급], SMALL(IF((표1_3[기록]="X") * (표1_3[5차성장]="O"), ROW(표1_3[내 책 등급])-ROW(서책입력!$D$3)+1), ROW(A20))), ""))</f>
        <v/>
      </c>
      <c r="C27" s="139">
        <f>서책입력!Q109</f>
        <v>34</v>
      </c>
      <c r="D27" s="269" t="str">
        <f t="array" ref="D27">IF(AND($D$5="", $D$6=""), "", IFERROR(INDEX(표1_3[조건], SMALL(IF((표1_3[기록]="X") * (표1_3[5차성장]="O"), ROW(표1_3[조건])-ROW(서책입력!$D$3)+1), ROW(A20))) &amp; " " &amp; INDEX(표1_3[수치], SMALL(IF((표1_3[기록]="X") * (표1_3[5차성장]="O"), ROW(표1_3[조건])-ROW(서책입력!$D$3)+1), ROW(A20))), ""))</f>
        <v/>
      </c>
      <c r="E27" s="269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96"/>
    </row>
    <row r="28" spans="1:29" hidden="1" x14ac:dyDescent="0.3">
      <c r="A28" s="251" t="str">
        <f t="array" ref="A28">IF(AND($D$5="", $D$6=""), "", IFERROR(INDEX(표1_3[책이름], SMALL(IF((표1_3[기록]="X") * (표1_3[5차성장]="O"), ROW(표1_3[책이름])-ROW(서책입력!$D$3)+1), ROW(A21))), ""))</f>
        <v/>
      </c>
      <c r="B28" s="248" t="str">
        <f t="array" ref="B28">IF(AND($D$5="", $D$6=""), "", IFERROR(INDEX(표1_3[내 책 등급], SMALL(IF((표1_3[기록]="X") * (표1_3[5차성장]="O"), ROW(표1_3[내 책 등급])-ROW(서책입력!$D$3)+1), ROW(A21))), ""))</f>
        <v/>
      </c>
      <c r="C28" s="139">
        <f>서책입력!R109</f>
        <v>46</v>
      </c>
      <c r="D28" s="269" t="str">
        <f t="array" ref="D28">IF(AND($D$5="", $D$6=""), "", IFERROR(INDEX(표1_3[조건], SMALL(IF((표1_3[기록]="X") * (표1_3[5차성장]="O"), ROW(표1_3[조건])-ROW(서책입력!$D$3)+1), ROW(A21))) &amp; " " &amp; INDEX(표1_3[수치], SMALL(IF((표1_3[기록]="X") * (표1_3[5차성장]="O"), ROW(표1_3[조건])-ROW(서책입력!$D$3)+1), ROW(A21))), ""))</f>
        <v/>
      </c>
      <c r="E28" s="269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96"/>
    </row>
    <row r="29" spans="1:29" hidden="1" x14ac:dyDescent="0.3">
      <c r="A29" s="251" t="str">
        <f t="array" ref="A29">IF(AND($D$5="", $D$6=""), "", IFERROR(INDEX(표1_3[책이름], SMALL(IF((표1_3[기록]="X") * (표1_3[5차성장]="O"), ROW(표1_3[책이름])-ROW(서책입력!$D$3)+1), ROW(A22))), ""))</f>
        <v/>
      </c>
      <c r="B29" s="248" t="str">
        <f t="array" ref="B29">IF(AND($D$5="", $D$6=""), "", IFERROR(INDEX(표1_3[내 책 등급], SMALL(IF((표1_3[기록]="X") * (표1_3[5차성장]="O"), ROW(표1_3[내 책 등급])-ROW(서책입력!$D$3)+1), ROW(A22))), ""))</f>
        <v/>
      </c>
      <c r="C29" s="139">
        <f>서책입력!S109</f>
        <v>41</v>
      </c>
      <c r="D29" s="269" t="str">
        <f t="array" ref="D29">IF(AND($D$5="", $D$6=""), "", IFERROR(INDEX(표1_3[조건], SMALL(IF((표1_3[기록]="X") * (표1_3[5차성장]="O"), ROW(표1_3[조건])-ROW(서책입력!$D$3)+1), ROW(A22))) &amp; " " &amp; INDEX(표1_3[수치], SMALL(IF((표1_3[기록]="X") * (표1_3[5차성장]="O"), ROW(표1_3[조건])-ROW(서책입력!$D$3)+1), ROW(A22))), ""))</f>
        <v/>
      </c>
      <c r="E29" s="269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96"/>
    </row>
    <row r="30" spans="1:29" hidden="1" x14ac:dyDescent="0.3">
      <c r="A30" s="251" t="str">
        <f t="array" ref="A30">IF(AND($D$5="", $D$6=""), "", IFERROR(INDEX(표1_3[책이름], SMALL(IF((표1_3[기록]="X") * (표1_3[5차성장]="O"), ROW(표1_3[책이름])-ROW(서책입력!$D$3)+1), ROW(A23))), ""))</f>
        <v/>
      </c>
      <c r="B30" s="248" t="str">
        <f t="array" ref="B30">IF(AND($D$5="", $D$6=""), "", IFERROR(INDEX(표1_3[내 책 등급], SMALL(IF((표1_3[기록]="X") * (표1_3[5차성장]="O"), ROW(표1_3[내 책 등급])-ROW(서책입력!$D$3)+1), ROW(A23))), ""))</f>
        <v/>
      </c>
      <c r="C30" s="139">
        <f>서책입력!T109</f>
        <v>10</v>
      </c>
      <c r="D30" s="269" t="str">
        <f t="array" ref="D30">IF(AND($D$5="", $D$6=""), "", IFERROR(INDEX(표1_3[조건], SMALL(IF((표1_3[기록]="X") * (표1_3[5차성장]="O"), ROW(표1_3[조건])-ROW(서책입력!$D$3)+1), ROW(A23))) &amp; " " &amp; INDEX(표1_3[수치], SMALL(IF((표1_3[기록]="X") * (표1_3[5차성장]="O"), ROW(표1_3[조건])-ROW(서책입력!$D$3)+1), ROW(A23))), ""))</f>
        <v/>
      </c>
      <c r="E30" s="269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96"/>
    </row>
    <row r="31" spans="1:29" hidden="1" x14ac:dyDescent="0.3">
      <c r="A31" s="251" t="str">
        <f t="array" ref="A31">IF(AND($D$5="", $D$6=""), "", IFERROR(INDEX(표1_3[책이름], SMALL(IF((표1_3[기록]="X") * (표1_3[5차성장]="O"), ROW(표1_3[책이름])-ROW(서책입력!$D$3)+1), ROW(A24))), ""))</f>
        <v/>
      </c>
      <c r="B31" s="248" t="str">
        <f t="array" ref="B31">IF(AND($D$5="", $D$6=""), "", IFERROR(INDEX(표1_3[내 책 등급], SMALL(IF((표1_3[기록]="X") * (표1_3[5차성장]="O"), ROW(표1_3[내 책 등급])-ROW(서책입력!$D$3)+1), ROW(A24))), ""))</f>
        <v/>
      </c>
      <c r="C31" s="139">
        <f>서책입력!U109</f>
        <v>11</v>
      </c>
      <c r="D31" s="269" t="str">
        <f t="array" ref="D31">IF(AND($D$5="", $D$6=""), "", IFERROR(INDEX(표1_3[조건], SMALL(IF((표1_3[기록]="X") * (표1_3[5차성장]="O"), ROW(표1_3[조건])-ROW(서책입력!$D$3)+1), ROW(A24))) &amp; " " &amp; INDEX(표1_3[수치], SMALL(IF((표1_3[기록]="X") * (표1_3[5차성장]="O"), ROW(표1_3[조건])-ROW(서책입력!$D$3)+1), ROW(A24))), ""))</f>
        <v/>
      </c>
      <c r="E31" s="269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96"/>
    </row>
    <row r="32" spans="1:29" hidden="1" x14ac:dyDescent="0.3">
      <c r="A32" s="251" t="str">
        <f t="array" ref="A32">IF(AND($D$5="", $D$6=""), "", IFERROR(INDEX(표1_3[책이름], SMALL(IF((표1_3[기록]="X") * (표1_3[5차성장]="O"), ROW(표1_3[책이름])-ROW(서책입력!$D$3)+1), ROW(A25))), ""))</f>
        <v/>
      </c>
      <c r="B32" s="248" t="str">
        <f t="array" ref="B32">IF(AND($D$5="", $D$6=""), "", IFERROR(INDEX(표1_3[내 책 등급], SMALL(IF((표1_3[기록]="X") * (표1_3[5차성장]="O"), ROW(표1_3[내 책 등급])-ROW(서책입력!$D$3)+1), ROW(A25))), ""))</f>
        <v/>
      </c>
      <c r="C32" s="139">
        <f>서책입력!V109</f>
        <v>10</v>
      </c>
      <c r="D32" s="269" t="str">
        <f t="array" ref="D32">IF(AND($D$5="", $D$6=""), "", IFERROR(INDEX(표1_3[조건], SMALL(IF((표1_3[기록]="X") * (표1_3[5차성장]="O"), ROW(표1_3[조건])-ROW(서책입력!$D$3)+1), ROW(A25))) &amp; " " &amp; INDEX(표1_3[수치], SMALL(IF((표1_3[기록]="X") * (표1_3[5차성장]="O"), ROW(표1_3[조건])-ROW(서책입력!$D$3)+1), ROW(A25))), ""))</f>
        <v/>
      </c>
      <c r="E32" s="269"/>
      <c r="K32" s="4"/>
    </row>
    <row r="33" spans="1:32" hidden="1" x14ac:dyDescent="0.3">
      <c r="A33" s="251" t="str">
        <f t="array" ref="A33">IF(AND($D$5="", $D$6=""), "", IFERROR(INDEX(표1_3[책이름], SMALL(IF((표1_3[기록]="X") * (표1_3[5차성장]="O"), ROW(표1_3[책이름])-ROW(서책입력!$D$3)+1), ROW(A26))), ""))</f>
        <v/>
      </c>
      <c r="B33" s="248" t="str">
        <f t="array" ref="B33">IF(AND($D$5="", $D$6=""), "", IFERROR(INDEX(표1_3[내 책 등급], SMALL(IF((표1_3[기록]="X") * (표1_3[5차성장]="O"), ROW(표1_3[내 책 등급])-ROW(서책입력!$D$3)+1), ROW(A26))), ""))</f>
        <v/>
      </c>
      <c r="C33" s="139">
        <f>서책입력!W109</f>
        <v>12</v>
      </c>
      <c r="D33" s="269" t="str">
        <f t="array" ref="D33">IF(AND($D$5="", $D$6=""), "", IFERROR(INDEX(표1_3[조건], SMALL(IF((표1_3[기록]="X") * (표1_3[5차성장]="O"), ROW(표1_3[조건])-ROW(서책입력!$D$3)+1), ROW(A26))) &amp; " " &amp; INDEX(표1_3[수치], SMALL(IF((표1_3[기록]="X") * (표1_3[5차성장]="O"), ROW(표1_3[조건])-ROW(서책입력!$D$3)+1), ROW(A26))), ""))</f>
        <v/>
      </c>
      <c r="E33" s="269"/>
      <c r="G33" s="4"/>
      <c r="K33" s="4"/>
    </row>
    <row r="34" spans="1:32" hidden="1" x14ac:dyDescent="0.3">
      <c r="A34" s="251" t="str">
        <f t="array" ref="A34">IF(AND($D$5="", $D$6=""), "", IFERROR(INDEX(표1_3[책이름], SMALL(IF((표1_3[기록]="X") * (표1_3[5차성장]="O"), ROW(표1_3[책이름])-ROW(서책입력!$D$3)+1), ROW(A27))), ""))</f>
        <v/>
      </c>
      <c r="B34" s="248" t="str">
        <f t="array" ref="B34">IF(AND($D$5="", $D$6=""), "", IFERROR(INDEX(표1_3[내 책 등급], SMALL(IF((표1_3[기록]="X") * (표1_3[5차성장]="O"), ROW(표1_3[내 책 등급])-ROW(서책입력!$D$3)+1), ROW(A27))), ""))</f>
        <v/>
      </c>
      <c r="C34" s="139">
        <f>서책입력!X109</f>
        <v>14</v>
      </c>
      <c r="D34" s="269" t="str">
        <f t="array" ref="D34">IF(AND($D$5="", $D$6=""), "", IFERROR(INDEX(표1_3[조건], SMALL(IF((표1_3[기록]="X") * (표1_3[5차성장]="O"), ROW(표1_3[조건])-ROW(서책입력!$D$3)+1), ROW(A27))) &amp; " " &amp; INDEX(표1_3[수치], SMALL(IF((표1_3[기록]="X") * (표1_3[5차성장]="O"), ROW(표1_3[조건])-ROW(서책입력!$D$3)+1), ROW(A27))), ""))</f>
        <v/>
      </c>
      <c r="E34" s="269"/>
      <c r="K34" s="4"/>
    </row>
    <row r="35" spans="1:32" hidden="1" x14ac:dyDescent="0.3">
      <c r="A35" s="251" t="str">
        <f t="array" ref="A35">IF(AND($D$5="", $D$6=""), "", IFERROR(INDEX(표1_3[책이름], SMALL(IF((표1_3[기록]="X") * (표1_3[5차성장]="O"), ROW(표1_3[책이름])-ROW(서책입력!$D$3)+1), ROW(A28))), ""))</f>
        <v/>
      </c>
      <c r="B35" s="248" t="str">
        <f t="array" ref="B35">IF(AND($D$5="", $D$6=""), "", IFERROR(INDEX(표1_3[내 책 등급], SMALL(IF((표1_3[기록]="X") * (표1_3[5차성장]="O"), ROW(표1_3[내 책 등급])-ROW(서책입력!$D$3)+1), ROW(A28))), ""))</f>
        <v/>
      </c>
      <c r="C35" s="139">
        <f>서책입력!Y109</f>
        <v>13</v>
      </c>
      <c r="D35" s="269" t="str">
        <f t="array" ref="D35">IF(AND($D$5="", $D$6=""), "", IFERROR(INDEX(표1_3[조건], SMALL(IF((표1_3[기록]="X") * (표1_3[5차성장]="O"), ROW(표1_3[조건])-ROW(서책입력!$D$3)+1), ROW(A28))) &amp; " " &amp; INDEX(표1_3[수치], SMALL(IF((표1_3[기록]="X") * (표1_3[5차성장]="O"), ROW(표1_3[조건])-ROW(서책입력!$D$3)+1), ROW(A28))), ""))</f>
        <v/>
      </c>
      <c r="E35" s="269"/>
      <c r="K35" s="4"/>
    </row>
    <row r="36" spans="1:32" ht="17.25" hidden="1" thickBot="1" x14ac:dyDescent="0.35">
      <c r="A36" s="251" t="str">
        <f t="array" ref="A36">IF(AND($D$5="", $D$6=""), "", IFERROR(INDEX(표1_3[책이름], SMALL(IF((표1_3[기록]="X") * (표1_3[5차성장]="O"), ROW(표1_3[책이름])-ROW(서책입력!$D$3)+1), ROW(A29))), ""))</f>
        <v/>
      </c>
      <c r="B36" s="248" t="str">
        <f t="array" ref="B36">IF(AND($D$5="", $D$6=""), "", IFERROR(INDEX(표1_3[내 책 등급], SMALL(IF((표1_3[기록]="X") * (표1_3[5차성장]="O"), ROW(표1_3[내 책 등급])-ROW(서책입력!$D$3)+1), ROW(A29))), ""))</f>
        <v/>
      </c>
      <c r="C36" s="140">
        <f>서책입력!Z109</f>
        <v>11</v>
      </c>
      <c r="D36" s="269" t="str">
        <f t="array" ref="D36">IF(AND($D$5="", $D$6=""), "", IFERROR(INDEX(표1_3[조건], SMALL(IF((표1_3[기록]="X") * (표1_3[5차성장]="O"), ROW(표1_3[조건])-ROW(서책입력!$D$3)+1), ROW(A29))) &amp; " " &amp; INDEX(표1_3[수치], SMALL(IF((표1_3[기록]="X") * (표1_3[5차성장]="O"), ROW(표1_3[조건])-ROW(서책입력!$D$3)+1), ROW(A29))), ""))</f>
        <v/>
      </c>
      <c r="E36" s="269"/>
    </row>
    <row r="37" spans="1:32" hidden="1" x14ac:dyDescent="0.3">
      <c r="A37" s="251" t="str">
        <f t="array" ref="A37">IF(AND($D$5="", $D$6=""), "", IFERROR(INDEX(표1_3[책이름], SMALL(IF((표1_3[기록]="X") * (표1_3[5차성장]="O"), ROW(표1_3[책이름])-ROW(서책입력!$D$3)+1), ROW(A30))), ""))</f>
        <v/>
      </c>
      <c r="B37" s="248" t="str">
        <f t="array" ref="B37">IF(AND($D$5="", $D$6=""), "", IFERROR(INDEX(표1_3[내 책 등급], SMALL(IF((표1_3[기록]="X") * (표1_3[5차성장]="O"), ROW(표1_3[내 책 등급])-ROW(서책입력!$D$3)+1), ROW(A30))), ""))</f>
        <v/>
      </c>
      <c r="C37" s="141">
        <f>INT(C27/10)+1</f>
        <v>4</v>
      </c>
      <c r="D37" s="269" t="str">
        <f t="array" ref="D37">IF(AND($D$5="", $D$6=""), "", IFERROR(INDEX(표1_3[조건], SMALL(IF((표1_3[기록]="X") * (표1_3[5차성장]="O"), ROW(표1_3[조건])-ROW(서책입력!$D$3)+1), ROW(A30))) &amp; " " &amp; INDEX(표1_3[수치], SMALL(IF((표1_3[기록]="X") * (표1_3[5차성장]="O"), ROW(표1_3[조건])-ROW(서책입력!$D$3)+1), ROW(A30))), ""))</f>
        <v/>
      </c>
      <c r="E37" s="269"/>
    </row>
    <row r="38" spans="1:32" hidden="1" x14ac:dyDescent="0.3">
      <c r="A38" s="251" t="str">
        <f t="array" ref="A38">IF(AND($D$5="", $D$6=""), "", IFERROR(INDEX(표1_3[책이름], SMALL(IF((표1_3[기록]="X") * (표1_3[5차성장]="O"), ROW(표1_3[책이름])-ROW(서책입력!$D$3)+1), ROW(A31))), ""))</f>
        <v/>
      </c>
      <c r="B38" s="248" t="str">
        <f t="array" ref="B38">IF(AND($D$5="", $D$6=""), "", IFERROR(INDEX(표1_3[내 책 등급], SMALL(IF((표1_3[기록]="X") * (표1_3[5차성장]="O"), ROW(표1_3[내 책 등급])-ROW(서책입력!$D$3)+1), ROW(A31))), ""))</f>
        <v/>
      </c>
      <c r="C38" s="139">
        <f>INT(C29/10)+2</f>
        <v>6</v>
      </c>
      <c r="D38" s="269" t="str">
        <f t="array" ref="D38">IF(AND($D$5="", $D$6=""), "", IFERROR(INDEX(표1_3[조건], SMALL(IF((표1_3[기록]="X") * (표1_3[5차성장]="O"), ROW(표1_3[조건])-ROW(서책입력!$D$3)+1), ROW(A31))) &amp; " " &amp; INDEX(표1_3[수치], SMALL(IF((표1_3[기록]="X") * (표1_3[5차성장]="O"), ROW(표1_3[조건])-ROW(서책입력!$D$3)+1), ROW(A31))), ""))</f>
        <v/>
      </c>
      <c r="E38" s="269"/>
    </row>
    <row r="39" spans="1:32" x14ac:dyDescent="0.3">
      <c r="A39" s="251" t="str">
        <f t="array" ref="A39">IF(AND($D$5="", $D$6=""), "", IFERROR(INDEX(표1_3[책이름], SMALL(IF((표1_3[기록]="X") * (표1_3[5차성장]="O"), ROW(표1_3[책이름])-ROW(서책입력!$D$3)+1), ROW(A32))), ""))</f>
        <v/>
      </c>
      <c r="B39" s="248" t="str">
        <f t="array" ref="B39">IF(AND($D$5="", $D$6=""), "", IFERROR(INDEX(표1_3[내 책 등급], SMALL(IF((표1_3[기록]="X") * (표1_3[5차성장]="O"), ROW(표1_3[내 책 등급])-ROW(서책입력!$D$3)+1), ROW(A32))), ""))</f>
        <v/>
      </c>
      <c r="C39" s="278">
        <f>INT(C28/10)+2</f>
        <v>6</v>
      </c>
      <c r="D39" s="269" t="str">
        <f t="array" ref="D39">IF(AND($D$5="", $D$6=""), "", IFERROR(INDEX(표1_3[조건], SMALL(IF((표1_3[기록]="X") * (표1_3[5차성장]="O"), ROW(표1_3[조건])-ROW(서책입력!$D$3)+1), ROW(A32))) &amp; " " &amp; INDEX(표1_3[수치], SMALL(IF((표1_3[기록]="X") * (표1_3[5차성장]="O"), ROW(표1_3[조건])-ROW(서책입력!$D$3)+1), ROW(A32))), ""))</f>
        <v/>
      </c>
      <c r="E39" s="269"/>
    </row>
    <row r="40" spans="1:32" ht="17.25" thickBot="1" x14ac:dyDescent="0.35">
      <c r="A40" s="275" t="s">
        <v>912</v>
      </c>
      <c r="B40" s="276" t="s">
        <v>908</v>
      </c>
      <c r="C40" s="277" t="e">
        <f>VLOOKUP(A38,표3[[#All],[명장]:[체력]],11,FALSE)</f>
        <v>#N/A</v>
      </c>
      <c r="D40" s="305" t="s">
        <v>909</v>
      </c>
      <c r="E40" s="306"/>
    </row>
    <row r="41" spans="1:32" x14ac:dyDescent="0.3">
      <c r="A41" s="112" t="str">
        <f t="array" ref="A41">IFERROR(INDEX(표1_3[책이름], SMALL(IF(표1_3[5차성장]="O", ROW(표1_3[책이름])-ROW(서책입력!$D$3)+1), ROW(A1))), "")</f>
        <v>전국책</v>
      </c>
      <c r="B41" s="270">
        <f t="array" ref="B41">IFERROR(INDEX(표1_3[내 책 등급], SMALL(IF(표1_3[5차성장]="O", ROW(표1_3[내 책 등급])-ROW(서책입력!$E$3)+1), ROW(A1))), "")</f>
        <v>10</v>
      </c>
      <c r="D41" s="310" t="str">
        <f t="array" ref="D41">IFERROR(INDEX(표1_3[조건], SMALL(IF(표1_3[5차성장]="O", ROW(표1_3[조건])-ROW(INDEX(표1_3[조건], 1, 1))+1), ROW(A1))) &amp; " " &amp; INDEX(표1_3[수치], SMALL(IF(표1_3[5차성장]="O", ROW(표1_3[조건])-ROW(INDEX(표1_3[조건], 1, 1))+1), ROW(A1))), "")</f>
        <v>무력 104</v>
      </c>
      <c r="E41" s="310"/>
      <c r="T41" s="101" t="str">
        <f t="array" ref="T41">IFERROR(INDEX(표1_3[☆], SMALL(IF(표1_3[5차성장]="O", ROW(표1_3[조건])-ROW(INDEX(표1_3[조건], 1, 1))+1), ROW(A1))), "")</f>
        <v>장군+40 / 군사+30</v>
      </c>
    </row>
    <row r="42" spans="1:32" x14ac:dyDescent="0.3">
      <c r="A42" s="112" t="str">
        <f t="array" ref="A42">IFERROR(INDEX(표1_3[책이름], SMALL(IF(표1_3[5차성장]="O", ROW(표1_3[책이름])-ROW(서책입력!$D$3)+1), ROW(A2))), "")</f>
        <v>맹덕신서</v>
      </c>
      <c r="B42" s="270">
        <f t="array" ref="B42">IFERROR(INDEX(표1_3[내 책 등급], SMALL(IF(표1_3[5차성장]="O", ROW(표1_3[내 책 등급])-ROW(서책입력!$E$3)+1), ROW(A2))), "")</f>
        <v>10</v>
      </c>
      <c r="D42" s="310" t="str">
        <f t="array" ref="D42">IFERROR(INDEX(표1_3[조건], SMALL(IF(표1_3[5차성장]="O", ROW(표1_3[조건])-ROW(INDEX(표1_3[조건], 1, 1))+1), ROW(A2))) &amp; " " &amp; INDEX(표1_3[수치], SMALL(IF(표1_3[5차성장]="O", ROW(표1_3[조건])-ROW(INDEX(표1_3[조건], 1, 1))+1), ROW(A2))), "")</f>
        <v>무력+지력 170</v>
      </c>
      <c r="E42" s="310"/>
      <c r="T42" s="101" t="str">
        <f t="array" ref="T42">IFERROR(INDEX(표1_3[☆], SMALL(IF(표1_3[5차성장]="O", ROW(표1_3[조건])-ROW(INDEX(표1_3[조건], 1, 1))+1), ROW(A2))), "")</f>
        <v>장군+40 / 통솔자+30 / 교사+20</v>
      </c>
      <c r="AE42" s="101" t="s">
        <v>682</v>
      </c>
      <c r="AF42" s="4" t="s">
        <v>639</v>
      </c>
    </row>
    <row r="43" spans="1:32" x14ac:dyDescent="0.3">
      <c r="A43" s="112" t="str">
        <f t="array" ref="A43">IFERROR(INDEX(표1_3[책이름], SMALL(IF(표1_3[5차성장]="O", ROW(표1_3[책이름])-ROW(서책입력!$D$3)+1), ROW(A3))), "")</f>
        <v>한서</v>
      </c>
      <c r="B43" s="270">
        <f t="array" ref="B43">IFERROR(INDEX(표1_3[내 책 등급], SMALL(IF(표1_3[5차성장]="O", ROW(표1_3[내 책 등급])-ROW(서책입력!$E$3)+1), ROW(A3))), "")</f>
        <v>10</v>
      </c>
      <c r="D43" s="310" t="str">
        <f t="array" ref="D43">IFERROR(INDEX(표1_3[조건], SMALL(IF(표1_3[5차성장]="O", ROW(표1_3[조건])-ROW(INDEX(표1_3[조건], 1, 1))+1), ROW(A3))) &amp; " " &amp; INDEX(표1_3[수치], SMALL(IF(표1_3[5차성장]="O", ROW(표1_3[조건])-ROW(INDEX(표1_3[조건], 1, 1))+1), ROW(A3))), "")</f>
        <v>무력+지력 170</v>
      </c>
      <c r="E43" s="310"/>
      <c r="T43" s="101" t="str">
        <f t="array" ref="T43">IFERROR(INDEX(표1_3[☆], SMALL(IF(표1_3[5차성장]="O", ROW(표1_3[조건])-ROW(INDEX(표1_3[조건], 1, 1))+1), ROW(A3))), "")</f>
        <v>통솔자+40 / 군사+20 / 교사+20</v>
      </c>
      <c r="AF43" s="4" t="s">
        <v>638</v>
      </c>
    </row>
    <row r="44" spans="1:32" x14ac:dyDescent="0.3">
      <c r="A44" s="112" t="str">
        <f t="array" ref="A44">IFERROR(INDEX(표1_3[책이름], SMALL(IF(표1_3[5차성장]="O", ROW(표1_3[책이름])-ROW(서책입력!$D$3)+1), ROW(A4))), "")</f>
        <v>중용</v>
      </c>
      <c r="B44" s="270">
        <f t="array" ref="B44">IFERROR(INDEX(표1_3[내 책 등급], SMALL(IF(표1_3[5차성장]="O", ROW(표1_3[내 책 등급])-ROW(서책입력!$E$3)+1), ROW(A4))), "")</f>
        <v>10</v>
      </c>
      <c r="D44" s="310" t="str">
        <f t="array" ref="D44">IFERROR(INDEX(표1_3[조건], SMALL(IF(표1_3[5차성장]="O", ROW(표1_3[조건])-ROW(INDEX(표1_3[조건], 1, 1))+1), ROW(A4))) &amp; " " &amp; INDEX(표1_3[수치], SMALL(IF(표1_3[5차성장]="O", ROW(표1_3[조건])-ROW(INDEX(표1_3[조건], 1, 1))+1), ROW(A4))), "")</f>
        <v>체력 120</v>
      </c>
      <c r="E44" s="310"/>
      <c r="T44" s="101" t="str">
        <f t="array" ref="T44">IFERROR(INDEX(표1_3[☆], SMALL(IF(표1_3[5차성장]="O", ROW(표1_3[조건])-ROW(INDEX(표1_3[조건], 1, 1))+1), ROW(A4))), "")</f>
        <v>통솔자+40 / 군사+20 / 교사+20</v>
      </c>
      <c r="AE44" s="4"/>
      <c r="AF44" s="4" t="s">
        <v>636</v>
      </c>
    </row>
    <row r="45" spans="1:32" x14ac:dyDescent="0.3">
      <c r="A45" s="112" t="str">
        <f t="array" ref="A45">IFERROR(INDEX(표1_3[책이름], SMALL(IF(표1_3[5차성장]="O", ROW(표1_3[책이름])-ROW(서책입력!$D$3)+1), ROW(A5))), "")</f>
        <v>염철론</v>
      </c>
      <c r="B45" s="270">
        <f t="array" ref="B45">IFERROR(INDEX(표1_3[내 책 등급], SMALL(IF(표1_3[5차성장]="O", ROW(표1_3[내 책 등급])-ROW(서책입력!$E$3)+1), ROW(A5))), "")</f>
        <v>10</v>
      </c>
      <c r="D45" s="310" t="str">
        <f t="array" ref="D45">IFERROR(INDEX(표1_3[조건], SMALL(IF(표1_3[5차성장]="O", ROW(표1_3[조건])-ROW(INDEX(표1_3[조건], 1, 1))+1), ROW(A5))) &amp; " " &amp; INDEX(표1_3[수치], SMALL(IF(표1_3[5차성장]="O", ROW(표1_3[조건])-ROW(INDEX(표1_3[조건], 1, 1))+1), ROW(A5))), "")</f>
        <v>무력 105</v>
      </c>
      <c r="E45" s="310"/>
      <c r="T45" s="101" t="str">
        <f t="array" ref="T45">IFERROR(INDEX(표1_3[☆], SMALL(IF(표1_3[5차성장]="O", ROW(표1_3[조건])-ROW(INDEX(표1_3[조건], 1, 1))+1), ROW(A5))), "")</f>
        <v>장군+40 / 대장장이+20</v>
      </c>
      <c r="AE45" s="4"/>
      <c r="AF45" s="4" t="s">
        <v>637</v>
      </c>
    </row>
    <row r="46" spans="1:32" x14ac:dyDescent="0.3">
      <c r="A46" s="112" t="str">
        <f t="array" ref="A46">IFERROR(INDEX(표1_3[책이름], SMALL(IF(표1_3[5차성장]="O", ROW(표1_3[책이름])-ROW(서책입력!$D$3)+1), ROW(A6))), "")</f>
        <v>박물지</v>
      </c>
      <c r="B46" s="270">
        <f t="array" ref="B46">IFERROR(INDEX(표1_3[내 책 등급], SMALL(IF(표1_3[5차성장]="O", ROW(표1_3[내 책 등급])-ROW(서책입력!$E$3)+1), ROW(A6))), "")</f>
        <v>8</v>
      </c>
      <c r="D46" s="310" t="str">
        <f t="array" ref="D46">IFERROR(INDEX(표1_3[조건], SMALL(IF(표1_3[5차성장]="O", ROW(표1_3[조건])-ROW(INDEX(표1_3[조건], 1, 1))+1), ROW(A6))) &amp; " " &amp; INDEX(표1_3[수치], SMALL(IF(표1_3[5차성장]="O", ROW(표1_3[조건])-ROW(INDEX(표1_3[조건], 1, 1))+1), ROW(A6))), "")</f>
        <v>무력+지력 185</v>
      </c>
      <c r="E46" s="310"/>
      <c r="T46" s="101" t="str">
        <f t="array" ref="T46">IFERROR(INDEX(표1_3[☆], SMALL(IF(표1_3[5차성장]="O", ROW(표1_3[조건])-ROW(INDEX(표1_3[조건], 1, 1))+1), ROW(A6))), "")</f>
        <v>통솔자+40 / 군사+20 / 교사+20</v>
      </c>
      <c r="AE46" s="4"/>
      <c r="AF46" s="4" t="s">
        <v>639</v>
      </c>
    </row>
    <row r="47" spans="1:32" x14ac:dyDescent="0.3">
      <c r="A47" s="112" t="str">
        <f t="array" ref="A47">IFERROR(INDEX(표1_3[책이름], SMALL(IF(표1_3[5차성장]="O", ROW(표1_3[책이름])-ROW(서책입력!$D$3)+1), ROW(A7))), "")</f>
        <v>무비지</v>
      </c>
      <c r="B47" s="270">
        <f t="array" ref="B47">IFERROR(INDEX(표1_3[내 책 등급], SMALL(IF(표1_3[5차성장]="O", ROW(표1_3[내 책 등급])-ROW(서책입력!$E$3)+1), ROW(A7))), "")</f>
        <v>0</v>
      </c>
      <c r="D47" s="310" t="str">
        <f t="array" ref="D47">IFERROR(INDEX(표1_3[조건], SMALL(IF(표1_3[5차성장]="O", ROW(표1_3[조건])-ROW(INDEX(표1_3[조건], 1, 1))+1), ROW(A7))) &amp; " " &amp; INDEX(표1_3[수치], SMALL(IF(표1_3[5차성장]="O", ROW(표1_3[조건])-ROW(INDEX(표1_3[조건], 1, 1))+1), ROW(A7))), "")</f>
        <v>무력 113</v>
      </c>
      <c r="E47" s="310"/>
      <c r="T47" s="101" t="str">
        <f t="array" ref="T47">IFERROR(INDEX(표1_3[☆], SMALL(IF(표1_3[5차성장]="O", ROW(표1_3[조건])-ROW(INDEX(표1_3[조건], 1, 1))+1), ROW(A7))), "")</f>
        <v>장군+40 / 통솔자+20 / 일꾼 +20</v>
      </c>
      <c r="AE47" s="4"/>
      <c r="AF47" s="4" t="s">
        <v>638</v>
      </c>
    </row>
    <row r="48" spans="1:32" x14ac:dyDescent="0.3">
      <c r="A48" s="112" t="str">
        <f t="array" ref="A48">IFERROR(INDEX(표1_3[책이름], SMALL(IF(표1_3[5차성장]="O", ROW(표1_3[책이름])-ROW(서책입력!$D$3)+1), ROW(A8))), "")</f>
        <v>10만개의왜</v>
      </c>
      <c r="B48" s="270">
        <f t="array" ref="B48">IFERROR(INDEX(표1_3[내 책 등급], SMALL(IF(표1_3[5차성장]="O", ROW(표1_3[내 책 등급])-ROW(서책입력!$E$3)+1), ROW(A8))), "")</f>
        <v>10</v>
      </c>
      <c r="D48" s="310" t="str">
        <f t="array" ref="D48">IFERROR(INDEX(표1_3[조건], SMALL(IF(표1_3[5차성장]="O", ROW(표1_3[조건])-ROW(INDEX(표1_3[조건], 1, 1))+1), ROW(A8))) &amp; " " &amp; INDEX(표1_3[수치], SMALL(IF(표1_3[5차성장]="O", ROW(표1_3[조건])-ROW(INDEX(표1_3[조건], 1, 1))+1), ROW(A8))), "")</f>
        <v>무력 89</v>
      </c>
      <c r="E48" s="310"/>
      <c r="T48" s="101" t="str">
        <f t="array" ref="T48">IFERROR(INDEX(표1_3[☆], SMALL(IF(표1_3[5차성장]="O", ROW(표1_3[조건])-ROW(INDEX(표1_3[조건], 1, 1))+1), ROW(A8))), "")</f>
        <v>교사+30 / 장군+15</v>
      </c>
      <c r="AF48" s="101" t="s">
        <v>699</v>
      </c>
    </row>
    <row r="49" spans="1:32" x14ac:dyDescent="0.3">
      <c r="A49" s="112" t="str">
        <f t="array" ref="A49">IFERROR(INDEX(표1_3[책이름], SMALL(IF(표1_3[5차성장]="O", ROW(표1_3[책이름])-ROW(서책입력!$D$3)+1), ROW(A9))), "")</f>
        <v>혀끝의삼국</v>
      </c>
      <c r="B49" s="270">
        <f t="array" ref="B49">IFERROR(INDEX(표1_3[내 책 등급], SMALL(IF(표1_3[5차성장]="O", ROW(표1_3[내 책 등급])-ROW(서책입력!$E$3)+1), ROW(A9))), "")</f>
        <v>10</v>
      </c>
      <c r="D49" s="310" t="str">
        <f t="array" ref="D49">IFERROR(INDEX(표1_3[조건], SMALL(IF(표1_3[5차성장]="O", ROW(표1_3[조건])-ROW(INDEX(표1_3[조건], 1, 1))+1), ROW(A9))) &amp; " " &amp; INDEX(표1_3[수치], SMALL(IF(표1_3[5차성장]="O", ROW(표1_3[조건])-ROW(INDEX(표1_3[조건], 1, 1))+1), ROW(A9))), "")</f>
        <v>지력 89</v>
      </c>
      <c r="E49" s="310"/>
      <c r="T49" s="101" t="str">
        <f t="array" ref="T49">IFERROR(INDEX(표1_3[☆], SMALL(IF(표1_3[5차성장]="O", ROW(표1_3[조건])-ROW(INDEX(표1_3[조건], 1, 1))+1), ROW(A9))), "")</f>
        <v>요리사+50 / 통솔자+25</v>
      </c>
      <c r="AF49" s="101" t="s">
        <v>694</v>
      </c>
    </row>
    <row r="50" spans="1:32" x14ac:dyDescent="0.3">
      <c r="A50" s="112" t="str">
        <f t="array" ref="A50">IFERROR(INDEX(표1_3[책이름], SMALL(IF(표1_3[5차성장]="O", ROW(표1_3[책이름])-ROW(서책입력!$D$3)+1), ROW(A10))), "")</f>
        <v>정말배고픈거야</v>
      </c>
      <c r="B50" s="270">
        <f t="array" ref="B50">IFERROR(INDEX(표1_3[내 책 등급], SMALL(IF(표1_3[5차성장]="O", ROW(표1_3[내 책 등급])-ROW(서책입력!$E$3)+1), ROW(A10))), "")</f>
        <v>5</v>
      </c>
      <c r="D50" s="310" t="str">
        <f t="array" ref="D50">IFERROR(INDEX(표1_3[조건], SMALL(IF(표1_3[5차성장]="O", ROW(표1_3[조건])-ROW(INDEX(표1_3[조건], 1, 1))+1), ROW(A10))) &amp; " " &amp; INDEX(표1_3[수치], SMALL(IF(표1_3[5차성장]="O", ROW(표1_3[조건])-ROW(INDEX(표1_3[조건], 1, 1))+1), ROW(A10))), "")</f>
        <v>지력 90</v>
      </c>
      <c r="E50" s="310"/>
      <c r="T50" s="101" t="str">
        <f t="array" ref="T50">IFERROR(INDEX(표1_3[☆], SMALL(IF(표1_3[5차성장]="O", ROW(표1_3[조건])-ROW(INDEX(표1_3[조건], 1, 1))+1), ROW(A10))), "")</f>
        <v>요리사+30 / 요리사+40</v>
      </c>
      <c r="AF50" s="101" t="s">
        <v>693</v>
      </c>
    </row>
    <row r="51" spans="1:32" x14ac:dyDescent="0.3">
      <c r="A51" s="112" t="str">
        <f t="array" ref="A51">IFERROR(INDEX(표1_3[책이름], SMALL(IF(표1_3[5차성장]="O", ROW(표1_3[책이름])-ROW(서책입력!$D$3)+1), ROW(A11))), "")</f>
        <v>구구단외우기</v>
      </c>
      <c r="B51" s="270">
        <f t="array" ref="B51">IFERROR(INDEX(표1_3[내 책 등급], SMALL(IF(표1_3[5차성장]="O", ROW(표1_3[내 책 등급])-ROW(서책입력!$E$3)+1), ROW(A11))), "")</f>
        <v>5</v>
      </c>
      <c r="D51" s="310" t="str">
        <f t="array" ref="D51">IFERROR(INDEX(표1_3[조건], SMALL(IF(표1_3[5차성장]="O", ROW(표1_3[조건])-ROW(INDEX(표1_3[조건], 1, 1))+1), ROW(A11))) &amp; " " &amp; INDEX(표1_3[수치], SMALL(IF(표1_3[5차성장]="O", ROW(표1_3[조건])-ROW(INDEX(표1_3[조건], 1, 1))+1), ROW(A11))), "")</f>
        <v>무력 81</v>
      </c>
      <c r="E51" s="310"/>
      <c r="T51" s="101" t="str">
        <f t="array" ref="T51">IFERROR(INDEX(표1_3[☆], SMALL(IF(표1_3[5차성장]="O", ROW(표1_3[조건])-ROW(INDEX(표1_3[조건], 1, 1))+1), ROW(A11))), "")</f>
        <v>교사+20 / 교사+30</v>
      </c>
      <c r="AF51" s="101" t="s">
        <v>695</v>
      </c>
    </row>
    <row r="52" spans="1:32" x14ac:dyDescent="0.3">
      <c r="A52" s="112" t="str">
        <f t="array" ref="A52">IFERROR(INDEX(표1_3[책이름], SMALL(IF(표1_3[5차성장]="O", ROW(표1_3[책이름])-ROW(서책입력!$D$3)+1), ROW(A12))), "")</f>
        <v>9세트체조</v>
      </c>
      <c r="B52" s="270">
        <f t="array" ref="B52">IFERROR(INDEX(표1_3[내 책 등급], SMALL(IF(표1_3[5차성장]="O", ROW(표1_3[내 책 등급])-ROW(서책입력!$E$3)+1), ROW(A12))), "")</f>
        <v>5</v>
      </c>
      <c r="D52" s="310" t="str">
        <f t="array" ref="D52">IFERROR(INDEX(표1_3[조건], SMALL(IF(표1_3[5차성장]="O", ROW(표1_3[조건])-ROW(INDEX(표1_3[조건], 1, 1))+1), ROW(A12))) &amp; " " &amp; INDEX(표1_3[수치], SMALL(IF(표1_3[5차성장]="O", ROW(표1_3[조건])-ROW(INDEX(표1_3[조건], 1, 1))+1), ROW(A12))), "")</f>
        <v>지력 81</v>
      </c>
      <c r="E52" s="310"/>
      <c r="T52" s="101" t="str">
        <f t="array" ref="T52">IFERROR(INDEX(표1_3[☆], SMALL(IF(표1_3[5차성장]="O", ROW(표1_3[조건])-ROW(INDEX(표1_3[조건], 1, 1))+1), ROW(A12))), "")</f>
        <v>교사+20 / 교사+30</v>
      </c>
      <c r="AF52" s="101" t="s">
        <v>696</v>
      </c>
    </row>
    <row r="53" spans="1:32" x14ac:dyDescent="0.3">
      <c r="A53" s="112" t="str">
        <f t="array" ref="A53">IFERROR(INDEX(표1_3[책이름], SMALL(IF(표1_3[5차성장]="O", ROW(표1_3[책이름])-ROW(서책입력!$D$3)+1), ROW(A13))), "")</f>
        <v>금메달요리사</v>
      </c>
      <c r="B53" s="270">
        <f t="array" ref="B53">IFERROR(INDEX(표1_3[내 책 등급], SMALL(IF(표1_3[5차성장]="O", ROW(표1_3[내 책 등급])-ROW(서책입력!$E$3)+1), ROW(A13))), "")</f>
        <v>4</v>
      </c>
      <c r="D53" s="310" t="str">
        <f t="array" ref="D53">IFERROR(INDEX(표1_3[조건], SMALL(IF(표1_3[5차성장]="O", ROW(표1_3[조건])-ROW(INDEX(표1_3[조건], 1, 1))+1), ROW(A13))) &amp; " " &amp; INDEX(표1_3[수치], SMALL(IF(표1_3[5차성장]="O", ROW(표1_3[조건])-ROW(INDEX(표1_3[조건], 1, 1))+1), ROW(A13))), "")</f>
        <v>지력 81</v>
      </c>
      <c r="E53" s="310"/>
      <c r="T53" s="101" t="str">
        <f t="array" ref="T53">IFERROR(INDEX(표1_3[☆], SMALL(IF(표1_3[5차성장]="O", ROW(표1_3[조건])-ROW(INDEX(표1_3[조건], 1, 1))+1), ROW(A13))), "")</f>
        <v>요리사+10 / 요리사+20</v>
      </c>
      <c r="AF53" s="101" t="s">
        <v>697</v>
      </c>
    </row>
    <row r="54" spans="1:32" x14ac:dyDescent="0.3">
      <c r="A54" s="112" t="str">
        <f t="array" ref="A54">IFERROR(INDEX(표1_3[책이름], SMALL(IF(표1_3[5차성장]="O", ROW(표1_3[책이름])-ROW(서책입력!$D$3)+1), ROW(A14))), "")</f>
        <v>손빈병법</v>
      </c>
      <c r="B54" s="270">
        <f t="array" ref="B54">IFERROR(INDEX(표1_3[내 책 등급], SMALL(IF(표1_3[5차성장]="O", ROW(표1_3[내 책 등급])-ROW(서책입력!$E$3)+1), ROW(A14))), "")</f>
        <v>10</v>
      </c>
      <c r="D54" s="310" t="str">
        <f t="array" ref="D54">IFERROR(INDEX(표1_3[조건], SMALL(IF(표1_3[5차성장]="O", ROW(표1_3[조건])-ROW(INDEX(표1_3[조건], 1, 1))+1), ROW(A14))) &amp; " " &amp; INDEX(표1_3[수치], SMALL(IF(표1_3[5차성장]="O", ROW(표1_3[조건])-ROW(INDEX(표1_3[조건], 1, 1))+1), ROW(A14))), "")</f>
        <v>무력+지력 180</v>
      </c>
      <c r="E54" s="310"/>
      <c r="T54" s="101" t="str">
        <f t="array" ref="T54">IFERROR(INDEX(표1_3[☆], SMALL(IF(표1_3[5차성장]="O", ROW(표1_3[조건])-ROW(INDEX(표1_3[조건], 1, 1))+1), ROW(A14))), "")</f>
        <v>통솔자+40 / 장군+20 / 군사+20</v>
      </c>
      <c r="AF54" s="101" t="s">
        <v>698</v>
      </c>
    </row>
    <row r="55" spans="1:32" x14ac:dyDescent="0.3">
      <c r="A55" s="112" t="str">
        <f t="array" ref="A55">IFERROR(INDEX(표1_3[책이름], SMALL(IF(표1_3[5차성장]="O", ROW(표1_3[책이름])-ROW(서책입력!$D$3)+1), ROW(A15))), "")</f>
        <v>삼략</v>
      </c>
      <c r="B55" s="270">
        <f t="array" ref="B55">IFERROR(INDEX(표1_3[내 책 등급], SMALL(IF(표1_3[5차성장]="O", ROW(표1_3[내 책 등급])-ROW(서책입력!$E$3)+1), ROW(A15))), "")</f>
        <v>9</v>
      </c>
      <c r="D55" s="310" t="str">
        <f t="array" ref="D55">IFERROR(INDEX(표1_3[조건], SMALL(IF(표1_3[5차성장]="O", ROW(표1_3[조건])-ROW(INDEX(표1_3[조건], 1, 1))+1), ROW(A15))) &amp; " " &amp; INDEX(표1_3[수치], SMALL(IF(표1_3[5차성장]="O", ROW(표1_3[조건])-ROW(INDEX(표1_3[조건], 1, 1))+1), ROW(A15))), "")</f>
        <v>무력 104</v>
      </c>
      <c r="E55" s="310"/>
      <c r="T55" s="101" t="str">
        <f t="array" ref="T55">IFERROR(INDEX(표1_3[☆], SMALL(IF(표1_3[5차성장]="O", ROW(표1_3[조건])-ROW(INDEX(표1_3[조건], 1, 1))+1), ROW(A15))), "")</f>
        <v>장군+40 / 군사+20 / 보안관+20</v>
      </c>
      <c r="AF55" s="101" t="s">
        <v>700</v>
      </c>
    </row>
    <row r="56" spans="1:32" x14ac:dyDescent="0.3">
      <c r="A56" s="112" t="str">
        <f t="array" ref="A56">IFERROR(INDEX(표1_3[책이름], SMALL(IF(표1_3[5차성장]="O", ROW(표1_3[책이름])-ROW(서책입력!$D$3)+1), ROW(A16))), "")</f>
        <v>오자</v>
      </c>
      <c r="B56" s="270">
        <f t="array" ref="B56">IFERROR(INDEX(표1_3[내 책 등급], SMALL(IF(표1_3[5차성장]="O", ROW(표1_3[내 책 등급])-ROW(서책입력!$E$3)+1), ROW(A16))), "")</f>
        <v>10</v>
      </c>
      <c r="D56" s="310" t="str">
        <f t="array" ref="D56">IFERROR(INDEX(표1_3[조건], SMALL(IF(표1_3[5차성장]="O", ROW(표1_3[조건])-ROW(INDEX(표1_3[조건], 1, 1))+1), ROW(A16))) &amp; " " &amp; INDEX(표1_3[수치], SMALL(IF(표1_3[5차성장]="O", ROW(표1_3[조건])-ROW(INDEX(표1_3[조건], 1, 1))+1), ROW(A16))), "")</f>
        <v>무력 95</v>
      </c>
      <c r="E56" s="310"/>
      <c r="T56" s="101" t="str">
        <f t="array" ref="T56">IFERROR(INDEX(표1_3[☆], SMALL(IF(표1_3[5차성장]="O", ROW(표1_3[조건])-ROW(INDEX(표1_3[조건], 1, 1))+1), ROW(A16))), "")</f>
        <v>장군+40 / 대장장+30</v>
      </c>
      <c r="AF56" s="101" t="s">
        <v>701</v>
      </c>
    </row>
    <row r="57" spans="1:32" x14ac:dyDescent="0.3">
      <c r="A57" s="112" t="str">
        <f t="array" ref="A57">IFERROR(INDEX(표1_3[책이름], SMALL(IF(표1_3[5차성장]="O", ROW(표1_3[책이름])-ROW(서책입력!$D$3)+1), ROW(A17))), "")</f>
        <v>사마법</v>
      </c>
      <c r="B57" s="270">
        <f t="array" ref="B57">IFERROR(INDEX(표1_3[내 책 등급], SMALL(IF(표1_3[5차성장]="O", ROW(표1_3[내 책 등급])-ROW(서책입력!$E$3)+1), ROW(A17))), "")</f>
        <v>10</v>
      </c>
      <c r="D57" s="310" t="str">
        <f t="array" ref="D57">IFERROR(INDEX(표1_3[조건], SMALL(IF(표1_3[5차성장]="O", ROW(표1_3[조건])-ROW(INDEX(표1_3[조건], 1, 1))+1), ROW(A17))) &amp; " " &amp; INDEX(표1_3[수치], SMALL(IF(표1_3[5차성장]="O", ROW(표1_3[조건])-ROW(INDEX(표1_3[조건], 1, 1))+1), ROW(A17))), "")</f>
        <v>무력 95</v>
      </c>
      <c r="E57" s="310"/>
      <c r="T57" s="101" t="str">
        <f t="array" ref="T57">IFERROR(INDEX(표1_3[☆], SMALL(IF(표1_3[5차성장]="O", ROW(표1_3[조건])-ROW(INDEX(표1_3[조건], 1, 1))+1), ROW(A17))), "")</f>
        <v>장군+40 / 일꾼+30</v>
      </c>
      <c r="AF57" s="101" t="s">
        <v>702</v>
      </c>
    </row>
    <row r="58" spans="1:32" x14ac:dyDescent="0.3">
      <c r="A58" s="112" t="str">
        <f t="array" ref="A58">IFERROR(INDEX(표1_3[책이름], SMALL(IF(표1_3[5차성장]="O", ROW(표1_3[책이름])-ROW(서책입력!$D$3)+1), ROW(A18))), "")</f>
        <v>울료자</v>
      </c>
      <c r="B58" s="270">
        <f t="array" ref="B58">IFERROR(INDEX(표1_3[내 책 등급], SMALL(IF(표1_3[5차성장]="O", ROW(표1_3[내 책 등급])-ROW(서책입력!$E$3)+1), ROW(A18))), "")</f>
        <v>10</v>
      </c>
      <c r="D58" s="310" t="str">
        <f t="array" ref="D58">IFERROR(INDEX(표1_3[조건], SMALL(IF(표1_3[5차성장]="O", ROW(표1_3[조건])-ROW(INDEX(표1_3[조건], 1, 1))+1), ROW(A18))) &amp; " " &amp; INDEX(표1_3[수치], SMALL(IF(표1_3[5차성장]="O", ROW(표1_3[조건])-ROW(INDEX(표1_3[조건], 1, 1))+1), ROW(A18))), "")</f>
        <v>무력 98</v>
      </c>
      <c r="E58" s="310"/>
      <c r="T58" s="101" t="str">
        <f t="array" ref="T58">IFERROR(INDEX(표1_3[☆], SMALL(IF(표1_3[5차성장]="O", ROW(표1_3[조건])-ROW(INDEX(표1_3[조건], 1, 1))+1), ROW(A18))), "")</f>
        <v>장군+40 / 농부+20</v>
      </c>
      <c r="AF58" s="101" t="s">
        <v>703</v>
      </c>
    </row>
    <row r="59" spans="1:32" x14ac:dyDescent="0.3">
      <c r="A59" s="112" t="str">
        <f t="array" ref="A59">IFERROR(INDEX(표1_3[책이름], SMALL(IF(표1_3[5차성장]="O", ROW(표1_3[책이름])-ROW(서책입력!$D$3)+1), ROW(A19))), "")</f>
        <v>장원</v>
      </c>
      <c r="B59" s="270">
        <f t="array" ref="B59">IFERROR(INDEX(표1_3[내 책 등급], SMALL(IF(표1_3[5차성장]="O", ROW(표1_3[내 책 등급])-ROW(서책입력!$E$3)+1), ROW(A19))), "")</f>
        <v>9</v>
      </c>
      <c r="D59" s="310" t="str">
        <f t="array" ref="D59">IFERROR(INDEX(표1_3[조건], SMALL(IF(표1_3[5차성장]="O", ROW(표1_3[조건])-ROW(INDEX(표1_3[조건], 1, 1))+1), ROW(A19))) &amp; " " &amp; INDEX(표1_3[수치], SMALL(IF(표1_3[5차성장]="O", ROW(표1_3[조건])-ROW(INDEX(표1_3[조건], 1, 1))+1), ROW(A19))), "")</f>
        <v>무력+지력 180</v>
      </c>
      <c r="E59" s="310"/>
      <c r="T59" s="101" t="str">
        <f t="array" ref="T59">IFERROR(INDEX(표1_3[☆], SMALL(IF(표1_3[5차성장]="O", ROW(표1_3[조건])-ROW(INDEX(표1_3[조건], 1, 1))+1), ROW(A19))), "")</f>
        <v>통솔자+40 / 장군+20 / 보안관+20</v>
      </c>
      <c r="AF59" s="101" t="s">
        <v>704</v>
      </c>
    </row>
    <row r="60" spans="1:32" x14ac:dyDescent="0.3">
      <c r="A60" s="112" t="str">
        <f t="array" ref="A60">IFERROR(INDEX(표1_3[책이름], SMALL(IF(표1_3[5차성장]="O", ROW(표1_3[책이름])-ROW(서책입력!$D$3)+1), ROW(A20))), "")</f>
        <v>백전기략</v>
      </c>
      <c r="B60" s="270">
        <f t="array" ref="B60">IFERROR(INDEX(표1_3[내 책 등급], SMALL(IF(표1_3[5차성장]="O", ROW(표1_3[내 책 등급])-ROW(서책입력!$E$3)+1), ROW(A20))), "")</f>
        <v>9</v>
      </c>
      <c r="D60" s="310" t="str">
        <f t="array" ref="D60">IFERROR(INDEX(표1_3[조건], SMALL(IF(표1_3[5차성장]="O", ROW(표1_3[조건])-ROW(INDEX(표1_3[조건], 1, 1))+1), ROW(A20))) &amp; " " &amp; INDEX(표1_3[수치], SMALL(IF(표1_3[5차성장]="O", ROW(표1_3[조건])-ROW(INDEX(표1_3[조건], 1, 1))+1), ROW(A20))), "")</f>
        <v>체력 125</v>
      </c>
      <c r="E60" s="310"/>
      <c r="T60" s="101" t="str">
        <f t="array" ref="T60">IFERROR(INDEX(표1_3[☆], SMALL(IF(표1_3[5차성장]="O", ROW(표1_3[조건])-ROW(INDEX(표1_3[조건], 1, 1))+1), ROW(A20))), "")</f>
        <v>통솔자+40 / 장군+20 / 보안관+20</v>
      </c>
    </row>
    <row r="61" spans="1:32" x14ac:dyDescent="0.3">
      <c r="A61" s="112" t="str">
        <f t="array" ref="A61">IFERROR(INDEX(표1_3[책이름], SMALL(IF(표1_3[5차성장]="O", ROW(표1_3[책이름])-ROW(서책입력!$D$3)+1), ROW(A21))), "")</f>
        <v>무경총요</v>
      </c>
      <c r="B61" s="270">
        <f t="array" ref="B61">IFERROR(INDEX(표1_3[내 책 등급], SMALL(IF(표1_3[5차성장]="O", ROW(표1_3[내 책 등급])-ROW(서책입력!$E$3)+1), ROW(A21))), "")</f>
        <v>9</v>
      </c>
      <c r="D61" s="310" t="str">
        <f t="array" ref="D61">IFERROR(INDEX(표1_3[조건], SMALL(IF(표1_3[5차성장]="O", ROW(표1_3[조건])-ROW(INDEX(표1_3[조건], 1, 1))+1), ROW(A21))) &amp; " " &amp; INDEX(표1_3[수치], SMALL(IF(표1_3[5차성장]="O", ROW(표1_3[조건])-ROW(INDEX(표1_3[조건], 1, 1))+1), ROW(A21))), "")</f>
        <v>무력 111</v>
      </c>
      <c r="E61" s="310"/>
      <c r="T61" s="101" t="str">
        <f t="array" ref="T61">IFERROR(INDEX(표1_3[☆], SMALL(IF(표1_3[5차성장]="O", ROW(표1_3[조건])-ROW(INDEX(표1_3[조건], 1, 1))+1), ROW(A21))), "")</f>
        <v>장군+40 / 통솔+20 / 대장장이+20</v>
      </c>
      <c r="AE61" s="159" t="s">
        <v>685</v>
      </c>
    </row>
    <row r="62" spans="1:32" x14ac:dyDescent="0.3">
      <c r="A62" s="112" t="str">
        <f t="array" ref="A62">IFERROR(INDEX(표1_3[책이름], SMALL(IF(표1_3[5차성장]="O", ROW(표1_3[책이름])-ROW(서책입력!$D$3)+1), ROW(A22))), "")</f>
        <v>강철은이렇게단련되었지</v>
      </c>
      <c r="B62" s="270">
        <f t="array" ref="B62">IFERROR(INDEX(표1_3[내 책 등급], SMALL(IF(표1_3[5차성장]="O", ROW(표1_3[내 책 등급])-ROW(서책입력!$E$3)+1), ROW(A22))), "")</f>
        <v>10</v>
      </c>
      <c r="D62" s="310" t="str">
        <f t="array" ref="D62">IFERROR(INDEX(표1_3[조건], SMALL(IF(표1_3[5차성장]="O", ROW(표1_3[조건])-ROW(INDEX(표1_3[조건], 1, 1))+1), ROW(A22))) &amp; " " &amp; INDEX(표1_3[수치], SMALL(IF(표1_3[5차성장]="O", ROW(표1_3[조건])-ROW(INDEX(표1_3[조건], 1, 1))+1), ROW(A22))), "")</f>
        <v>무력 89</v>
      </c>
      <c r="E62" s="310"/>
      <c r="T62" s="101" t="str">
        <f t="array" ref="T62">IFERROR(INDEX(표1_3[☆], SMALL(IF(표1_3[5차성장]="O", ROW(표1_3[조건])-ROW(INDEX(표1_3[조건], 1, 1))+1), ROW(A22))), "")</f>
        <v>대장장이+30 / 장군+15</v>
      </c>
      <c r="AE62" s="160" t="s">
        <v>686</v>
      </c>
    </row>
    <row r="63" spans="1:32" x14ac:dyDescent="0.3">
      <c r="A63" s="112" t="str">
        <f t="array" ref="A63">IFERROR(INDEX(표1_3[책이름], SMALL(IF(표1_3[5차성장]="O", ROW(표1_3[책이름])-ROW(서책입력!$D$3)+1), ROW(A23))), "")</f>
        <v>40년의시행착오줄이기</v>
      </c>
      <c r="B63" s="270">
        <f t="array" ref="B63">IFERROR(INDEX(표1_3[내 책 등급], SMALL(IF(표1_3[5차성장]="O", ROW(표1_3[내 책 등급])-ROW(서책입력!$E$3)+1), ROW(A23))), "")</f>
        <v>10</v>
      </c>
      <c r="D63" s="310" t="str">
        <f t="array" ref="D63">IFERROR(INDEX(표1_3[조건], SMALL(IF(표1_3[5차성장]="O", ROW(표1_3[조건])-ROW(INDEX(표1_3[조건], 1, 1))+1), ROW(A23))) &amp; " " &amp; INDEX(표1_3[수치], SMALL(IF(표1_3[5차성장]="O", ROW(표1_3[조건])-ROW(INDEX(표1_3[조건], 1, 1))+1), ROW(A23))), "")</f>
        <v>무력 89</v>
      </c>
      <c r="E63" s="310"/>
      <c r="T63" s="101" t="str">
        <f t="array" ref="T63">IFERROR(INDEX(표1_3[☆], SMALL(IF(표1_3[5차성장]="O", ROW(표1_3[조건])-ROW(INDEX(표1_3[조건], 1, 1))+1), ROW(A23))), "")</f>
        <v>보안관+30 / 통솔자+15</v>
      </c>
      <c r="AE63" s="161" t="s">
        <v>687</v>
      </c>
    </row>
    <row r="64" spans="1:32" x14ac:dyDescent="0.3">
      <c r="A64" s="112" t="str">
        <f t="array" ref="A64">IFERROR(INDEX(표1_3[책이름], SMALL(IF(표1_3[5차성장]="O", ROW(표1_3[책이름])-ROW(서책입력!$D$3)+1), ROW(A24))), "")</f>
        <v>누가강한가</v>
      </c>
      <c r="B64" s="270">
        <f t="array" ref="B64">IFERROR(INDEX(표1_3[내 책 등급], SMALL(IF(표1_3[5차성장]="O", ROW(표1_3[내 책 등급])-ROW(서책입력!$E$3)+1), ROW(A24))), "")</f>
        <v>5</v>
      </c>
      <c r="D64" s="310" t="str">
        <f t="array" ref="D64">IFERROR(INDEX(표1_3[조건], SMALL(IF(표1_3[5차성장]="O", ROW(표1_3[조건])-ROW(INDEX(표1_3[조건], 1, 1))+1), ROW(A24))) &amp; " " &amp; INDEX(표1_3[수치], SMALL(IF(표1_3[5차성장]="O", ROW(표1_3[조건])-ROW(INDEX(표1_3[조건], 1, 1))+1), ROW(A24))), "")</f>
        <v>무력 81</v>
      </c>
      <c r="E64" s="310"/>
      <c r="T64" s="101" t="str">
        <f t="array" ref="T64">IFERROR(INDEX(표1_3[☆], SMALL(IF(표1_3[5차성장]="O", ROW(표1_3[조건])-ROW(INDEX(표1_3[조건], 1, 1))+1), ROW(A24))), "")</f>
        <v>대장장이+20 / 대장장이+30</v>
      </c>
      <c r="AE64" s="159" t="s">
        <v>688</v>
      </c>
    </row>
    <row r="65" spans="1:31" x14ac:dyDescent="0.3">
      <c r="A65" s="112" t="str">
        <f t="array" ref="A65">IFERROR(INDEX(표1_3[책이름], SMALL(IF(표1_3[5차성장]="O", ROW(표1_3[책이름])-ROW(서책입력!$D$3)+1), ROW(A25))), "")</f>
        <v>곤권18식</v>
      </c>
      <c r="B65" s="270">
        <f t="array" ref="B65">IFERROR(INDEX(표1_3[내 책 등급], SMALL(IF(표1_3[5차성장]="O", ROW(표1_3[내 책 등급])-ROW(서책입력!$E$3)+1), ROW(A25))), "")</f>
        <v>5</v>
      </c>
      <c r="D65" s="310" t="str">
        <f t="array" ref="D65">IFERROR(INDEX(표1_3[조건], SMALL(IF(표1_3[5차성장]="O", ROW(표1_3[조건])-ROW(INDEX(표1_3[조건], 1, 1))+1), ROW(A25))) &amp; " " &amp; INDEX(표1_3[수치], SMALL(IF(표1_3[5차성장]="O", ROW(표1_3[조건])-ROW(INDEX(표1_3[조건], 1, 1))+1), ROW(A25))), "")</f>
        <v>무력 81</v>
      </c>
      <c r="E65" s="310"/>
      <c r="T65" s="101" t="str">
        <f t="array" ref="T65">IFERROR(INDEX(표1_3[☆], SMALL(IF(표1_3[5차성장]="O", ROW(표1_3[조건])-ROW(INDEX(표1_3[조건], 1, 1))+1), ROW(A25))), "")</f>
        <v>보안관+20 / 보안관+30</v>
      </c>
      <c r="AE65" s="160" t="s">
        <v>689</v>
      </c>
    </row>
    <row r="66" spans="1:31" x14ac:dyDescent="0.3">
      <c r="A66" s="112" t="str">
        <f t="array" ref="A66">IFERROR(INDEX(표1_3[책이름], SMALL(IF(표1_3[5차성장]="O", ROW(표1_3[책이름])-ROW(서책입력!$D$3)+1), ROW(A26))), "")</f>
        <v>친구의비밀</v>
      </c>
      <c r="B66" s="270">
        <f t="array" ref="B66">IFERROR(INDEX(표1_3[내 책 등급], SMALL(IF(표1_3[5차성장]="O", ROW(표1_3[내 책 등급])-ROW(서책입력!$E$3)+1), ROW(A26))), "")</f>
        <v>4</v>
      </c>
      <c r="D66" s="310" t="str">
        <f t="array" ref="D66">IFERROR(INDEX(표1_3[조건], SMALL(IF(표1_3[5차성장]="O", ROW(표1_3[조건])-ROW(INDEX(표1_3[조건], 1, 1))+1), ROW(A26))) &amp; " " &amp; INDEX(표1_3[수치], SMALL(IF(표1_3[5차성장]="O", ROW(표1_3[조건])-ROW(INDEX(표1_3[조건], 1, 1))+1), ROW(A26))), "")</f>
        <v>무력 81</v>
      </c>
      <c r="E66" s="310"/>
      <c r="T66" s="101" t="str">
        <f t="array" ref="T66">IFERROR(INDEX(표1_3[☆], SMALL(IF(표1_3[5차성장]="O", ROW(표1_3[조건])-ROW(INDEX(표1_3[조건], 1, 1))+1), ROW(A26))), "")</f>
        <v>대장장이+10 / 대장장이+20</v>
      </c>
      <c r="AE66" s="161" t="s">
        <v>690</v>
      </c>
    </row>
    <row r="67" spans="1:31" x14ac:dyDescent="0.3">
      <c r="A67" s="112" t="str">
        <f t="array" ref="A67">IFERROR(INDEX(표1_3[책이름], SMALL(IF(표1_3[5차성장]="O", ROW(표1_3[책이름])-ROW(서책입력!$D$3)+1), ROW(A27))), "")</f>
        <v>후한서</v>
      </c>
      <c r="B67" s="270">
        <f t="array" ref="B67">IFERROR(INDEX(표1_3[내 책 등급], SMALL(IF(표1_3[5차성장]="O", ROW(표1_3[내 책 등급])-ROW(서책입력!$E$3)+1), ROW(A27))), "")</f>
        <v>10</v>
      </c>
      <c r="D67" s="310" t="str">
        <f t="array" ref="D67">IFERROR(INDEX(표1_3[조건], SMALL(IF(표1_3[5차성장]="O", ROW(표1_3[조건])-ROW(INDEX(표1_3[조건], 1, 1))+1), ROW(A27))) &amp; " " &amp; INDEX(표1_3[수치], SMALL(IF(표1_3[5차성장]="O", ROW(표1_3[조건])-ROW(INDEX(표1_3[조건], 1, 1))+1), ROW(A27))), "")</f>
        <v>무력 104</v>
      </c>
      <c r="E67" s="310"/>
      <c r="T67" s="101" t="str">
        <f t="array" ref="T67">IFERROR(INDEX(표1_3[☆], SMALL(IF(표1_3[5차성장]="O", ROW(표1_3[조건])-ROW(INDEX(표1_3[조건], 1, 1))+1), ROW(A27))), "")</f>
        <v>통솔자+60 / 보안관+30</v>
      </c>
    </row>
    <row r="68" spans="1:31" x14ac:dyDescent="0.3">
      <c r="A68" s="112" t="str">
        <f t="array" ref="A68">IFERROR(INDEX(표1_3[책이름], SMALL(IF(표1_3[5차성장]="O", ROW(표1_3[책이름])-ROW(서책입력!$D$3)+1), ROW(A28))), "")</f>
        <v>대학'</v>
      </c>
      <c r="B68" s="270">
        <f t="array" ref="B68">IFERROR(INDEX(표1_3[내 책 등급], SMALL(IF(표1_3[5차성장]="O", ROW(표1_3[내 책 등급])-ROW(서책입력!$E$3)+1), ROW(A28))), "")</f>
        <v>10</v>
      </c>
      <c r="D68" s="310" t="str">
        <f t="array" ref="D68">IFERROR(INDEX(표1_3[조건], SMALL(IF(표1_3[5차성장]="O", ROW(표1_3[조건])-ROW(INDEX(표1_3[조건], 1, 1))+1), ROW(A28))) &amp; " " &amp; INDEX(표1_3[수치], SMALL(IF(표1_3[5차성장]="O", ROW(표1_3[조건])-ROW(INDEX(표1_3[조건], 1, 1))+1), ROW(A28))), "")</f>
        <v>내력 88</v>
      </c>
      <c r="E68" s="310"/>
      <c r="T68" s="101" t="str">
        <f t="array" ref="T68">IFERROR(INDEX(표1_3[☆], SMALL(IF(표1_3[5차성장]="O", ROW(표1_3[조건])-ROW(INDEX(표1_3[조건], 1, 1))+1), ROW(A28))), "")</f>
        <v>통솔자+60 / 군사+20</v>
      </c>
    </row>
    <row r="69" spans="1:31" x14ac:dyDescent="0.3">
      <c r="A69" s="112" t="str">
        <f t="array" ref="A69">IFERROR(INDEX(표1_3[책이름], SMALL(IF(표1_3[5차성장]="O", ROW(표1_3[책이름])-ROW(서책입력!$D$3)+1), ROW(A29))), "")</f>
        <v>도덕경</v>
      </c>
      <c r="B69" s="270">
        <f t="array" ref="B69">IFERROR(INDEX(표1_3[내 책 등급], SMALL(IF(표1_3[5차성장]="O", ROW(표1_3[내 책 등급])-ROW(서책입력!$E$3)+1), ROW(A29))), "")</f>
        <v>10</v>
      </c>
      <c r="D69" s="310" t="str">
        <f t="array" ref="D69">IFERROR(INDEX(표1_3[조건], SMALL(IF(표1_3[5차성장]="O", ROW(표1_3[조건])-ROW(INDEX(표1_3[조건], 1, 1))+1), ROW(A29))) &amp; " " &amp; INDEX(표1_3[수치], SMALL(IF(표1_3[5차성장]="O", ROW(표1_3[조건])-ROW(INDEX(표1_3[조건], 1, 1))+1), ROW(A29))), "")</f>
        <v>체력 114</v>
      </c>
      <c r="E69" s="310"/>
      <c r="T69" s="101" t="str">
        <f t="array" ref="T69">IFERROR(INDEX(표1_3[☆], SMALL(IF(표1_3[5차성장]="O", ROW(표1_3[조건])-ROW(INDEX(표1_3[조건], 1, 1))+1), ROW(A29))), "")</f>
        <v>군사+60 / 장군+20</v>
      </c>
    </row>
    <row r="70" spans="1:31" x14ac:dyDescent="0.3">
      <c r="A70" s="112" t="str">
        <f t="array" ref="A70">IFERROR(INDEX(표1_3[책이름], SMALL(IF(표1_3[5차성장]="O", ROW(표1_3[책이름])-ROW(서책입력!$D$3)+1), ROW(A30))), "")</f>
        <v>묵자</v>
      </c>
      <c r="B70" s="270">
        <f t="array" ref="B70">IFERROR(INDEX(표1_3[내 책 등급], SMALL(IF(표1_3[5차성장]="O", ROW(표1_3[내 책 등급])-ROW(서책입력!$E$3)+1), ROW(A30))), "")</f>
        <v>10</v>
      </c>
      <c r="D70" s="310" t="str">
        <f t="array" ref="D70">IFERROR(INDEX(표1_3[조건], SMALL(IF(표1_3[5차성장]="O", ROW(표1_3[조건])-ROW(INDEX(표1_3[조건], 1, 1))+1), ROW(A30))) &amp; " " &amp; INDEX(표1_3[수치], SMALL(IF(표1_3[5차성장]="O", ROW(표1_3[조건])-ROW(INDEX(표1_3[조건], 1, 1))+1), ROW(A30))), "")</f>
        <v>내력 88</v>
      </c>
      <c r="E70" s="310"/>
      <c r="T70" s="101" t="str">
        <f t="array" ref="T70">IFERROR(INDEX(표1_3[☆], SMALL(IF(표1_3[5차성장]="O", ROW(표1_3[조건])-ROW(INDEX(표1_3[조건], 1, 1))+1), ROW(A30))), "")</f>
        <v>통솔자+40 / 장군+30</v>
      </c>
    </row>
    <row r="71" spans="1:31" x14ac:dyDescent="0.3">
      <c r="A71" s="112" t="str">
        <f t="array" ref="A71">IFERROR(INDEX(표1_3[책이름], SMALL(IF(표1_3[5차성장]="O", ROW(표1_3[책이름])-ROW(서책입력!$D$3)+1), ROW(A31))), "")</f>
        <v>초사</v>
      </c>
      <c r="B71" s="270">
        <f t="array" ref="B71">IFERROR(INDEX(표1_3[내 책 등급], SMALL(IF(표1_3[5차성장]="O", ROW(표1_3[내 책 등급])-ROW(서책입력!$E$3)+1), ROW(A31))), "")</f>
        <v>10</v>
      </c>
      <c r="D71" s="310" t="str">
        <f t="array" ref="D71">IFERROR(INDEX(표1_3[조건], SMALL(IF(표1_3[5차성장]="O", ROW(표1_3[조건])-ROW(INDEX(표1_3[조건], 1, 1))+1), ROW(A31))) &amp; " " &amp; INDEX(표1_3[수치], SMALL(IF(표1_3[5차성장]="O", ROW(표1_3[조건])-ROW(INDEX(표1_3[조건], 1, 1))+1), ROW(A31))), "")</f>
        <v>무력 105</v>
      </c>
      <c r="E71" s="310"/>
      <c r="T71" s="101" t="str">
        <f t="array" ref="T71">IFERROR(INDEX(표1_3[☆], SMALL(IF(표1_3[5차성장]="O", ROW(표1_3[조건])-ROW(INDEX(표1_3[조건], 1, 1))+1), ROW(A31))), "")</f>
        <v>군사+40 / 상인+20</v>
      </c>
    </row>
    <row r="72" spans="1:31" x14ac:dyDescent="0.3">
      <c r="A72" s="112" t="str">
        <f t="array" ref="A72">IFERROR(INDEX(표1_3[책이름], SMALL(IF(표1_3[5차성장]="O", ROW(표1_3[책이름])-ROW(서책입력!$D$3)+1), ROW(A32))), "")</f>
        <v>천문도</v>
      </c>
      <c r="B72" s="270">
        <f t="array" ref="B72">IFERROR(INDEX(표1_3[내 책 등급], SMALL(IF(표1_3[5차성장]="O", ROW(표1_3[내 책 등급])-ROW(서책입력!$E$3)+1), ROW(A32))), "")</f>
        <v>10</v>
      </c>
      <c r="D72" s="310" t="str">
        <f t="array" ref="D72">IFERROR(INDEX(표1_3[조건], SMALL(IF(표1_3[5차성장]="O", ROW(표1_3[조건])-ROW(INDEX(표1_3[조건], 1, 1))+1), ROW(A32))) &amp; " " &amp; INDEX(표1_3[수치], SMALL(IF(표1_3[5차성장]="O", ROW(표1_3[조건])-ROW(INDEX(표1_3[조건], 1, 1))+1), ROW(A32))), "")</f>
        <v>무력+지력 175</v>
      </c>
      <c r="E72" s="310"/>
      <c r="T72" s="101" t="str">
        <f t="array" ref="T72">IFERROR(INDEX(표1_3[☆], SMALL(IF(표1_3[5차성장]="O", ROW(표1_3[조건])-ROW(INDEX(표1_3[조건], 1, 1))+1), ROW(A32))), "")</f>
        <v>장군+40 / 군사+20</v>
      </c>
    </row>
    <row r="73" spans="1:31" x14ac:dyDescent="0.3">
      <c r="A73" s="112" t="str">
        <f t="array" ref="A73">IFERROR(INDEX(표1_3[책이름], SMALL(IF(표1_3[5차성장]="O", ROW(표1_3[책이름])-ROW(서책입력!$D$3)+1), ROW(A33))), "")</f>
        <v>상군서</v>
      </c>
      <c r="B73" s="270">
        <f t="array" ref="B73">IFERROR(INDEX(표1_3[내 책 등급], SMALL(IF(표1_3[5차성장]="O", ROW(표1_3[내 책 등급])-ROW(서책입력!$E$3)+1), ROW(A33))), "")</f>
        <v>10</v>
      </c>
      <c r="D73" s="310" t="str">
        <f t="array" ref="D73">IFERROR(INDEX(표1_3[조건], SMALL(IF(표1_3[5차성장]="O", ROW(표1_3[조건])-ROW(INDEX(표1_3[조건], 1, 1))+1), ROW(A33))) &amp; " " &amp; INDEX(표1_3[수치], SMALL(IF(표1_3[5차성장]="O", ROW(표1_3[조건])-ROW(INDEX(표1_3[조건], 1, 1))+1), ROW(A33))), "")</f>
        <v>무력+지력 200</v>
      </c>
      <c r="E73" s="310"/>
      <c r="T73" s="101" t="str">
        <f t="array" ref="T73">IFERROR(INDEX(표1_3[☆], SMALL(IF(표1_3[5차성장]="O", ROW(표1_3[조건])-ROW(INDEX(표1_3[조건], 1, 1))+1), ROW(A33))), "")</f>
        <v>군사+40 / 일꾼+20</v>
      </c>
    </row>
    <row r="74" spans="1:31" x14ac:dyDescent="0.3">
      <c r="A74" s="112" t="str">
        <f t="array" ref="A74">IFERROR(INDEX(표1_3[책이름], SMALL(IF(표1_3[5차성장]="O", ROW(표1_3[책이름])-ROW(서책입력!$D$3)+1), ROW(A34))), "")</f>
        <v>태극도설</v>
      </c>
      <c r="B74" s="270">
        <f t="array" ref="B74">IFERROR(INDEX(표1_3[내 책 등급], SMALL(IF(표1_3[5차성장]="O", ROW(표1_3[내 책 등급])-ROW(서책입력!$E$3)+1), ROW(A34))), "")</f>
        <v>7</v>
      </c>
      <c r="D74" s="310" t="str">
        <f t="array" ref="D74">IFERROR(INDEX(표1_3[조건], SMALL(IF(표1_3[5차성장]="O", ROW(표1_3[조건])-ROW(INDEX(표1_3[조건], 1, 1))+1), ROW(A34))) &amp; " " &amp; INDEX(표1_3[수치], SMALL(IF(표1_3[5차성장]="O", ROW(표1_3[조건])-ROW(INDEX(표1_3[조건], 1, 1))+1), ROW(A34))), "")</f>
        <v>무력+지력 179</v>
      </c>
      <c r="E74" s="310"/>
      <c r="T74" s="101" t="str">
        <f t="array" ref="T74">IFERROR(INDEX(표1_3[☆], SMALL(IF(표1_3[5차성장]="O", ROW(표1_3[조건])-ROW(INDEX(표1_3[조건], 1, 1))+1), ROW(A34))), "")</f>
        <v>장군+40 / 상인+20</v>
      </c>
    </row>
    <row r="75" spans="1:31" x14ac:dyDescent="0.3">
      <c r="A75" s="112" t="str">
        <f t="array" ref="A75">IFERROR(INDEX(표1_3[책이름], SMALL(IF(표1_3[5차성장]="O", ROW(표1_3[책이름])-ROW(서책입력!$D$3)+1), ROW(A35))), "")</f>
        <v>마을의희망</v>
      </c>
      <c r="B75" s="270">
        <f t="array" ref="B75">IFERROR(INDEX(표1_3[내 책 등급], SMALL(IF(표1_3[5차성장]="O", ROW(표1_3[내 책 등급])-ROW(서책입력!$E$3)+1), ROW(A35))), "")</f>
        <v>10</v>
      </c>
      <c r="D75" s="310" t="str">
        <f t="array" ref="D75">IFERROR(INDEX(표1_3[조건], SMALL(IF(표1_3[5차성장]="O", ROW(표1_3[조건])-ROW(INDEX(표1_3[조건], 1, 1))+1), ROW(A35))) &amp; " " &amp; INDEX(표1_3[수치], SMALL(IF(표1_3[5차성장]="O", ROW(표1_3[조건])-ROW(INDEX(표1_3[조건], 1, 1))+1), ROW(A35))), "")</f>
        <v>무력 89</v>
      </c>
      <c r="E75" s="310"/>
      <c r="T75" s="101" t="str">
        <f t="array" ref="T75">IFERROR(INDEX(표1_3[☆], SMALL(IF(표1_3[5차성장]="O", ROW(표1_3[조건])-ROW(INDEX(표1_3[조건], 1, 1))+1), ROW(A35))), "")</f>
        <v>농부+30 / 장군+15</v>
      </c>
    </row>
    <row r="76" spans="1:31" x14ac:dyDescent="0.3">
      <c r="A76" s="112" t="str">
        <f t="array" ref="A76">IFERROR(INDEX(표1_3[책이름], SMALL(IF(표1_3[5차성장]="O", ROW(표1_3[책이름])-ROW(서책입력!$D$3)+1), ROW(A36))), "")</f>
        <v>고등수학</v>
      </c>
      <c r="B76" s="270">
        <f t="array" ref="B76">IFERROR(INDEX(표1_3[내 책 등급], SMALL(IF(표1_3[5차성장]="O", ROW(표1_3[내 책 등급])-ROW(서책입력!$E$3)+1), ROW(A36))), "")</f>
        <v>10</v>
      </c>
      <c r="D76" s="310" t="str">
        <f t="array" ref="D76">IFERROR(INDEX(표1_3[조건], SMALL(IF(표1_3[5차성장]="O", ROW(표1_3[조건])-ROW(INDEX(표1_3[조건], 1, 1))+1), ROW(A36))) &amp; " " &amp; INDEX(표1_3[수치], SMALL(IF(표1_3[5차성장]="O", ROW(표1_3[조건])-ROW(INDEX(표1_3[조건], 1, 1))+1), ROW(A36))), "")</f>
        <v>지력 89</v>
      </c>
      <c r="E76" s="310"/>
      <c r="T76" s="101" t="str">
        <f t="array" ref="T76">IFERROR(INDEX(표1_3[☆], SMALL(IF(표1_3[5차성장]="O", ROW(표1_3[조건])-ROW(INDEX(표1_3[조건], 1, 1))+1), ROW(A36))), "")</f>
        <v>교사+30 / 군사+25</v>
      </c>
    </row>
    <row r="77" spans="1:31" x14ac:dyDescent="0.3">
      <c r="A77" s="112" t="str">
        <f t="array" ref="A77">IFERROR(INDEX(표1_3[책이름], SMALL(IF(표1_3[5차성장]="O", ROW(표1_3[책이름])-ROW(서책입력!$D$3)+1), ROW(A37))), "")</f>
        <v>비료레시피</v>
      </c>
      <c r="B77" s="270">
        <f t="array" ref="B77">IFERROR(INDEX(표1_3[내 책 등급], SMALL(IF(표1_3[5차성장]="O", ROW(표1_3[내 책 등급])-ROW(서책입력!$E$3)+1), ROW(A37))), "")</f>
        <v>5</v>
      </c>
      <c r="D77" s="310" t="str">
        <f t="array" ref="D77">IFERROR(INDEX(표1_3[조건], SMALL(IF(표1_3[5차성장]="O", ROW(표1_3[조건])-ROW(INDEX(표1_3[조건], 1, 1))+1), ROW(A37))) &amp; " " &amp; INDEX(표1_3[수치], SMALL(IF(표1_3[5차성장]="O", ROW(표1_3[조건])-ROW(INDEX(표1_3[조건], 1, 1))+1), ROW(A37))), "")</f>
        <v>무력 90</v>
      </c>
      <c r="E77" s="310"/>
      <c r="T77" s="101" t="str">
        <f t="array" ref="T77">IFERROR(INDEX(표1_3[☆], SMALL(IF(표1_3[5차성장]="O", ROW(표1_3[조건])-ROW(INDEX(표1_3[조건], 1, 1))+1), ROW(A37))), "")</f>
        <v>농부+20 / 농부+30</v>
      </c>
    </row>
    <row r="78" spans="1:31" x14ac:dyDescent="0.3">
      <c r="A78" s="112" t="str">
        <f t="array" ref="A78">IFERROR(INDEX(표1_3[책이름], SMALL(IF(표1_3[5차성장]="O", ROW(표1_3[책이름])-ROW(서책입력!$D$3)+1), ROW(A38))), "")</f>
        <v>어미돼지출산후케어</v>
      </c>
      <c r="B78" s="270">
        <f t="array" ref="B78">IFERROR(INDEX(표1_3[내 책 등급], SMALL(IF(표1_3[5차성장]="O", ROW(표1_3[내 책 등급])-ROW(서책입력!$E$3)+1), ROW(A38))), "")</f>
        <v>4</v>
      </c>
      <c r="D78" s="310" t="str">
        <f t="array" ref="D78">IFERROR(INDEX(표1_3[조건], SMALL(IF(표1_3[5차성장]="O", ROW(표1_3[조건])-ROW(INDEX(표1_3[조건], 1, 1))+1), ROW(A38))) &amp; " " &amp; INDEX(표1_3[수치], SMALL(IF(표1_3[5차성장]="O", ROW(표1_3[조건])-ROW(INDEX(표1_3[조건], 1, 1))+1), ROW(A38))), "")</f>
        <v>무력 81</v>
      </c>
      <c r="E78" s="310"/>
      <c r="T78" s="101" t="str">
        <f t="array" ref="T78">IFERROR(INDEX(표1_3[☆], SMALL(IF(표1_3[5차성장]="O", ROW(표1_3[조건])-ROW(INDEX(표1_3[조건], 1, 1))+1), ROW(A38))), "")</f>
        <v>농부+10 / 농부+20</v>
      </c>
    </row>
    <row r="79" spans="1:31" x14ac:dyDescent="0.3">
      <c r="A79" s="112" t="str">
        <f t="array" ref="A79">IFERROR(INDEX(표1_3[책이름], SMALL(IF(표1_3[5차성장]="O", ROW(표1_3[책이름])-ROW(서책입력!$D$3)+1), ROW(A39))), "")</f>
        <v>천공개물</v>
      </c>
      <c r="B79" s="270">
        <f t="array" ref="B79">IFERROR(INDEX(표1_3[내 책 등급], SMALL(IF(표1_3[5차성장]="O", ROW(표1_3[내 책 등급])-ROW(서책입력!$E$3)+1), ROW(A39))), "")</f>
        <v>10</v>
      </c>
      <c r="D79" s="310" t="str">
        <f t="array" ref="D79">IFERROR(INDEX(표1_3[조건], SMALL(IF(표1_3[5차성장]="O", ROW(표1_3[조건])-ROW(INDEX(표1_3[조건], 1, 1))+1), ROW(A39))) &amp; " " &amp; INDEX(표1_3[수치], SMALL(IF(표1_3[5차성장]="O", ROW(표1_3[조건])-ROW(INDEX(표1_3[조건], 1, 1))+1), ROW(A39))), "")</f>
        <v>무력 95</v>
      </c>
      <c r="E79" s="310"/>
      <c r="T79" s="101" t="str">
        <f t="array" ref="T79">IFERROR(INDEX(표1_3[☆], SMALL(IF(표1_3[5차성장]="O", ROW(표1_3[조건])-ROW(INDEX(표1_3[조건], 1, 1))+1), ROW(A39))), "")</f>
        <v>장군+40 / 군사+30 / 대장장이+20</v>
      </c>
    </row>
    <row r="80" spans="1:31" x14ac:dyDescent="0.3">
      <c r="A80" s="112" t="str">
        <f t="array" ref="A80">IFERROR(INDEX(표1_3[책이름], SMALL(IF(표1_3[5차성장]="O", ROW(표1_3[책이름])-ROW(서책입력!$D$3)+1), ROW(A40))), "")</f>
        <v>제민요술</v>
      </c>
      <c r="B80" s="270">
        <f t="array" ref="B80">IFERROR(INDEX(표1_3[내 책 등급], SMALL(IF(표1_3[5차성장]="O", ROW(표1_3[내 책 등급])-ROW(서책입력!$E$3)+1), ROW(A40))), "")</f>
        <v>10</v>
      </c>
      <c r="D80" s="310" t="str">
        <f t="array" ref="D80">IFERROR(INDEX(표1_3[조건], SMALL(IF(표1_3[5차성장]="O", ROW(표1_3[조건])-ROW(INDEX(표1_3[조건], 1, 1))+1), ROW(A40))) &amp; " " &amp; INDEX(표1_3[수치], SMALL(IF(표1_3[5차성장]="O", ROW(표1_3[조건])-ROW(INDEX(표1_3[조건], 1, 1))+1), ROW(A40))), "")</f>
        <v>무력 95</v>
      </c>
      <c r="E80" s="310"/>
      <c r="T80" s="101" t="str">
        <f t="array" ref="T80">IFERROR(INDEX(표1_3[☆], SMALL(IF(표1_3[5차성장]="O", ROW(표1_3[조건])-ROW(INDEX(표1_3[조건], 1, 1))+1), ROW(A40))), "")</f>
        <v>장군+40 / 일꾼+30</v>
      </c>
    </row>
    <row r="81" spans="1:20" x14ac:dyDescent="0.3">
      <c r="A81" s="112" t="str">
        <f t="array" ref="A81">IFERROR(INDEX(표1_3[책이름], SMALL(IF(표1_3[5차성장]="O", ROW(표1_3[책이름])-ROW(서책입력!$D$3)+1), ROW(A41))), "")</f>
        <v>구장산술</v>
      </c>
      <c r="B81" s="270">
        <f t="array" ref="B81">IFERROR(INDEX(표1_3[내 책 등급], SMALL(IF(표1_3[5차성장]="O", ROW(표1_3[내 책 등급])-ROW(서책입력!$E$3)+1), ROW(A41))), "")</f>
        <v>10</v>
      </c>
      <c r="D81" s="310" t="str">
        <f t="array" ref="D81">IFERROR(INDEX(표1_3[조건], SMALL(IF(표1_3[5차성장]="O", ROW(표1_3[조건])-ROW(INDEX(표1_3[조건], 1, 1))+1), ROW(A41))) &amp; " " &amp; INDEX(표1_3[수치], SMALL(IF(표1_3[5차성장]="O", ROW(표1_3[조건])-ROW(INDEX(표1_3[조건], 1, 1))+1), ROW(A41))), "")</f>
        <v>무력 85</v>
      </c>
      <c r="E81" s="310"/>
      <c r="T81" s="101" t="str">
        <f t="array" ref="T81">IFERROR(INDEX(표1_3[☆], SMALL(IF(표1_3[5차성장]="O", ROW(표1_3[조건])-ROW(INDEX(표1_3[조건], 1, 1))+1), ROW(A41))), "")</f>
        <v>장군+40 / 통솔자+20 / 농부+20</v>
      </c>
    </row>
    <row r="82" spans="1:20" x14ac:dyDescent="0.3">
      <c r="A82" s="112" t="str">
        <f t="array" ref="A82">IFERROR(INDEX(표1_3[책이름], SMALL(IF(표1_3[5차성장]="O", ROW(표1_3[책이름])-ROW(서책입력!$D$3)+1), ROW(A42))), "")</f>
        <v>주역</v>
      </c>
      <c r="B82" s="270">
        <f t="array" ref="B82">IFERROR(INDEX(표1_3[내 책 등급], SMALL(IF(표1_3[5차성장]="O", ROW(표1_3[내 책 등급])-ROW(서책입력!$E$3)+1), ROW(A42))), "")</f>
        <v>10</v>
      </c>
      <c r="D82" s="310" t="str">
        <f t="array" ref="D82">IFERROR(INDEX(표1_3[조건], SMALL(IF(표1_3[5차성장]="O", ROW(표1_3[조건])-ROW(INDEX(표1_3[조건], 1, 1))+1), ROW(A42))) &amp; " " &amp; INDEX(표1_3[수치], SMALL(IF(표1_3[5차성장]="O", ROW(표1_3[조건])-ROW(INDEX(표1_3[조건], 1, 1))+1), ROW(A42))), "")</f>
        <v>체력 114</v>
      </c>
      <c r="E82" s="310"/>
      <c r="T82" s="101" t="str">
        <f t="array" ref="T82">IFERROR(INDEX(표1_3[☆], SMALL(IF(표1_3[5차성장]="O", ROW(표1_3[조건])-ROW(INDEX(표1_3[조건], 1, 1))+1), ROW(A42))), "")</f>
        <v>장군+60 / 통솔자+20</v>
      </c>
    </row>
    <row r="83" spans="1:20" x14ac:dyDescent="0.3">
      <c r="A83" s="112" t="str">
        <f t="array" ref="A83">IFERROR(INDEX(표1_3[책이름], SMALL(IF(표1_3[5차성장]="O", ROW(표1_3[책이름])-ROW(서책입력!$D$3)+1), ROW(A43))), "")</f>
        <v>상한론</v>
      </c>
      <c r="B83" s="270">
        <f t="array" ref="B83">IFERROR(INDEX(표1_3[내 책 등급], SMALL(IF(표1_3[5차성장]="O", ROW(표1_3[내 책 등급])-ROW(서책입력!$E$3)+1), ROW(A43))), "")</f>
        <v>10</v>
      </c>
      <c r="D83" s="310" t="str">
        <f t="array" ref="D83">IFERROR(INDEX(표1_3[조건], SMALL(IF(표1_3[5차성장]="O", ROW(표1_3[조건])-ROW(INDEX(표1_3[조건], 1, 1))+1), ROW(A43))) &amp; " " &amp; INDEX(표1_3[수치], SMALL(IF(표1_3[5차성장]="O", ROW(표1_3[조건])-ROW(INDEX(표1_3[조건], 1, 1))+1), ROW(A43))), "")</f>
        <v>무력 98</v>
      </c>
      <c r="E83" s="310"/>
      <c r="T83" s="101" t="str">
        <f t="array" ref="T83">IFERROR(INDEX(표1_3[☆], SMALL(IF(표1_3[5차성장]="O", ROW(표1_3[조건])-ROW(INDEX(표1_3[조건], 1, 1))+1), ROW(A43))), "")</f>
        <v>군사+40 / 요리사+20</v>
      </c>
    </row>
    <row r="84" spans="1:20" x14ac:dyDescent="0.3">
      <c r="A84" s="112" t="str">
        <f t="array" ref="A84">IFERROR(INDEX(표1_3[책이름], SMALL(IF(표1_3[5차성장]="O", ROW(표1_3[책이름])-ROW(서책입력!$D$3)+1), ROW(A44))), "")</f>
        <v>몽계필담</v>
      </c>
      <c r="B84" s="270">
        <f t="array" ref="B84">IFERROR(INDEX(표1_3[내 책 등급], SMALL(IF(표1_3[5차성장]="O", ROW(표1_3[내 책 등급])-ROW(서책입력!$E$3)+1), ROW(A44))), "")</f>
        <v>10</v>
      </c>
      <c r="D84" s="310" t="str">
        <f t="array" ref="D84">IFERROR(INDEX(표1_3[조건], SMALL(IF(표1_3[5차성장]="O", ROW(표1_3[조건])-ROW(INDEX(표1_3[조건], 1, 1))+1), ROW(A44))) &amp; " " &amp; INDEX(표1_3[수치], SMALL(IF(표1_3[5차성장]="O", ROW(표1_3[조건])-ROW(INDEX(표1_3[조건], 1, 1))+1), ROW(A44))), "")</f>
        <v>내력 100</v>
      </c>
      <c r="E84" s="310"/>
      <c r="T84" s="101" t="str">
        <f t="array" ref="T84">IFERROR(INDEX(표1_3[☆], SMALL(IF(표1_3[5차성장]="O", ROW(표1_3[조건])-ROW(INDEX(표1_3[조건], 1, 1))+1), ROW(A44))), "")</f>
        <v>통솔자+40 / 장군+20 / 일꾼+20</v>
      </c>
    </row>
    <row r="85" spans="1:20" x14ac:dyDescent="0.3">
      <c r="A85" s="112" t="str">
        <f t="array" ref="A85">IFERROR(INDEX(표1_3[책이름], SMALL(IF(표1_3[5차성장]="O", ROW(표1_3[책이름])-ROW(서책입력!$D$3)+1), ROW(A45))), "")</f>
        <v>고공기</v>
      </c>
      <c r="B85" s="270">
        <f t="array" ref="B85">IFERROR(INDEX(표1_3[내 책 등급], SMALL(IF(표1_3[5차성장]="O", ROW(표1_3[내 책 등급])-ROW(서책입력!$E$3)+1), ROW(A45))), "")</f>
        <v>10</v>
      </c>
      <c r="D85" s="310" t="str">
        <f t="array" ref="D85">IFERROR(INDEX(표1_3[조건], SMALL(IF(표1_3[5차성장]="O", ROW(표1_3[조건])-ROW(INDEX(표1_3[조건], 1, 1))+1), ROW(A45))) &amp; " " &amp; INDEX(표1_3[수치], SMALL(IF(표1_3[5차성장]="O", ROW(표1_3[조건])-ROW(INDEX(표1_3[조건], 1, 1))+1), ROW(A45))), "")</f>
        <v>무력 104</v>
      </c>
      <c r="E85" s="310"/>
      <c r="T85" s="101" t="str">
        <f t="array" ref="T85">IFERROR(INDEX(표1_3[☆], SMALL(IF(표1_3[5차성장]="O", ROW(표1_3[조건])-ROW(INDEX(표1_3[조건], 1, 1))+1), ROW(A45))), "")</f>
        <v>군사+40 / 요리사+30</v>
      </c>
    </row>
    <row r="86" spans="1:20" x14ac:dyDescent="0.3">
      <c r="A86" s="112" t="str">
        <f t="array" ref="A86">IFERROR(INDEX(표1_3[책이름], SMALL(IF(표1_3[5차성장]="O", ROW(표1_3[책이름])-ROW(서책입력!$D$3)+1), ROW(A46))), "")</f>
        <v>포박자</v>
      </c>
      <c r="B86" s="270">
        <f t="array" ref="B86">IFERROR(INDEX(표1_3[내 책 등급], SMALL(IF(표1_3[5차성장]="O", ROW(표1_3[내 책 등급])-ROW(서책입력!$E$3)+1), ROW(A46))), "")</f>
        <v>9</v>
      </c>
      <c r="D86" s="310" t="str">
        <f t="array" ref="D86">IFERROR(INDEX(표1_3[조건], SMALL(IF(표1_3[5차성장]="O", ROW(표1_3[조건])-ROW(INDEX(표1_3[조건], 1, 1))+1), ROW(A46))) &amp; " " &amp; INDEX(표1_3[수치], SMALL(IF(표1_3[5차성장]="O", ROW(표1_3[조건])-ROW(INDEX(표1_3[조건], 1, 1))+1), ROW(A46))), "")</f>
        <v>체력+촉나라 98</v>
      </c>
      <c r="E86" s="310"/>
      <c r="T86" s="101" t="str">
        <f t="array" ref="T86">IFERROR(INDEX(표1_3[☆], SMALL(IF(표1_3[5차성장]="O", ROW(표1_3[조건])-ROW(INDEX(표1_3[조건], 1, 1))+1), ROW(A46))), "")</f>
        <v>통솔자+40 / 농부+20</v>
      </c>
    </row>
    <row r="87" spans="1:20" x14ac:dyDescent="0.3">
      <c r="A87" s="112" t="str">
        <f t="array" ref="A87">IFERROR(INDEX(표1_3[책이름], SMALL(IF(표1_3[5차성장]="O", ROW(표1_3[책이름])-ROW(서책입력!$D$3)+1), ROW(A47))), "")</f>
        <v>중년통신록</v>
      </c>
      <c r="B87" s="270">
        <f t="array" ref="B87">IFERROR(INDEX(표1_3[내 책 등급], SMALL(IF(표1_3[5차성장]="O", ROW(표1_3[내 책 등급])-ROW(서책입력!$E$3)+1), ROW(A47))), "")</f>
        <v>10</v>
      </c>
      <c r="D87" s="310" t="str">
        <f t="array" ref="D87">IFERROR(INDEX(표1_3[조건], SMALL(IF(표1_3[5차성장]="O", ROW(표1_3[조건])-ROW(INDEX(표1_3[조건], 1, 1))+1), ROW(A47))) &amp; " " &amp; INDEX(표1_3[수치], SMALL(IF(표1_3[5차성장]="O", ROW(표1_3[조건])-ROW(INDEX(표1_3[조건], 1, 1))+1), ROW(A47))), "")</f>
        <v>지력 89</v>
      </c>
      <c r="E87" s="310"/>
      <c r="T87" s="101" t="str">
        <f t="array" ref="T87">IFERROR(INDEX(표1_3[☆], SMALL(IF(표1_3[5차성장]="O", ROW(표1_3[조건])-ROW(INDEX(표1_3[조건], 1, 1))+1), ROW(A47))), "")</f>
        <v>상인+50 / 군사+25</v>
      </c>
    </row>
    <row r="88" spans="1:20" x14ac:dyDescent="0.3">
      <c r="A88" s="112" t="str">
        <f t="array" ref="A88">IFERROR(INDEX(표1_3[책이름], SMALL(IF(표1_3[5차성장]="O", ROW(표1_3[책이름])-ROW(서책입력!$D$3)+1), ROW(A48))), "")</f>
        <v>원소주기율표</v>
      </c>
      <c r="B88" s="270">
        <f t="array" ref="B88">IFERROR(INDEX(표1_3[내 책 등급], SMALL(IF(표1_3[5차성장]="O", ROW(표1_3[내 책 등급])-ROW(서책입력!$E$3)+1), ROW(A48))), "")</f>
        <v>10</v>
      </c>
      <c r="D88" s="310" t="str">
        <f t="array" ref="D88">IFERROR(INDEX(표1_3[조건], SMALL(IF(표1_3[5차성장]="O", ROW(표1_3[조건])-ROW(INDEX(표1_3[조건], 1, 1))+1), ROW(A48))) &amp; " " &amp; INDEX(표1_3[수치], SMALL(IF(표1_3[5차성장]="O", ROW(표1_3[조건])-ROW(INDEX(표1_3[조건], 1, 1))+1), ROW(A48))), "")</f>
        <v>무력 89</v>
      </c>
      <c r="E88" s="310"/>
      <c r="T88" s="101" t="str">
        <f t="array" ref="T88">IFERROR(INDEX(표1_3[☆], SMALL(IF(표1_3[5차성장]="O", ROW(표1_3[조건])-ROW(INDEX(표1_3[조건], 1, 1))+1), ROW(A48))), "")</f>
        <v>일꾼+30 / 통솔자+15</v>
      </c>
    </row>
    <row r="89" spans="1:20" x14ac:dyDescent="0.3">
      <c r="A89" s="112" t="str">
        <f t="array" ref="A89">IFERROR(INDEX(표1_3[책이름], SMALL(IF(표1_3[5차성장]="O", ROW(표1_3[책이름])-ROW(서책입력!$D$3)+1), ROW(A49))), "")</f>
        <v>어디가비싸요?</v>
      </c>
      <c r="B89" s="270">
        <f t="array" ref="B89">IFERROR(INDEX(표1_3[내 책 등급], SMALL(IF(표1_3[5차성장]="O", ROW(표1_3[내 책 등급])-ROW(서책입력!$E$3)+1), ROW(A49))), "")</f>
        <v>5</v>
      </c>
      <c r="D89" s="310" t="str">
        <f t="array" ref="D89">IFERROR(INDEX(표1_3[조건], SMALL(IF(표1_3[5차성장]="O", ROW(표1_3[조건])-ROW(INDEX(표1_3[조건], 1, 1))+1), ROW(A49))) &amp; " " &amp; INDEX(표1_3[수치], SMALL(IF(표1_3[5차성장]="O", ROW(표1_3[조건])-ROW(INDEX(표1_3[조건], 1, 1))+1), ROW(A49))), "")</f>
        <v>지력 90</v>
      </c>
      <c r="E89" s="310"/>
      <c r="T89" s="101" t="str">
        <f t="array" ref="T89">IFERROR(INDEX(표1_3[☆], SMALL(IF(표1_3[5차성장]="O", ROW(표1_3[조건])-ROW(INDEX(표1_3[조건], 1, 1))+1), ROW(A49))), "")</f>
        <v>상인+30 / 상인+40</v>
      </c>
    </row>
    <row r="90" spans="1:20" x14ac:dyDescent="0.3">
      <c r="A90" s="112" t="str">
        <f t="array" ref="A90">IFERROR(INDEX(표1_3[책이름], SMALL(IF(표1_3[5차성장]="O", ROW(표1_3[책이름])-ROW(서책입력!$D$3)+1), ROW(A50))), "")</f>
        <v>대박비법노트</v>
      </c>
      <c r="B90" s="270">
        <f t="array" ref="B90">IFERROR(INDEX(표1_3[내 책 등급], SMALL(IF(표1_3[5차성장]="O", ROW(표1_3[내 책 등급])-ROW(서책입력!$E$3)+1), ROW(A50))), "")</f>
        <v>5</v>
      </c>
      <c r="D90" s="310" t="str">
        <f t="array" ref="D90">IFERROR(INDEX(표1_3[조건], SMALL(IF(표1_3[5차성장]="O", ROW(표1_3[조건])-ROW(INDEX(표1_3[조건], 1, 1))+1), ROW(A50))) &amp; " " &amp; INDEX(표1_3[수치], SMALL(IF(표1_3[5차성장]="O", ROW(표1_3[조건])-ROW(INDEX(표1_3[조건], 1, 1))+1), ROW(A50))), "")</f>
        <v>무력 81</v>
      </c>
      <c r="E90" s="310"/>
      <c r="T90" s="101" t="str">
        <f t="array" ref="T90">IFERROR(INDEX(표1_3[☆], SMALL(IF(표1_3[5차성장]="O", ROW(표1_3[조건])-ROW(INDEX(표1_3[조건], 1, 1))+1), ROW(A50))), "")</f>
        <v>일꾼+20 / 일꾼+30</v>
      </c>
    </row>
    <row r="91" spans="1:20" x14ac:dyDescent="0.3">
      <c r="A91" s="112" t="str">
        <f t="array" ref="A91">IFERROR(INDEX(표1_3[책이름], SMALL(IF(표1_3[5차성장]="O", ROW(표1_3[책이름])-ROW(서책입력!$D$3)+1), ROW(A51))), "")</f>
        <v>선택받은알바</v>
      </c>
      <c r="B91" s="270">
        <f t="array" ref="B91">IFERROR(INDEX(표1_3[내 책 등급], SMALL(IF(표1_3[5차성장]="O", ROW(표1_3[내 책 등급])-ROW(서책입력!$E$3)+1), ROW(A51))), "")</f>
        <v>4</v>
      </c>
      <c r="D91" s="310" t="str">
        <f t="array" ref="D91">IFERROR(INDEX(표1_3[조건], SMALL(IF(표1_3[5차성장]="O", ROW(표1_3[조건])-ROW(INDEX(표1_3[조건], 1, 1))+1), ROW(A51))) &amp; " " &amp; INDEX(표1_3[수치], SMALL(IF(표1_3[5차성장]="O", ROW(표1_3[조건])-ROW(INDEX(표1_3[조건], 1, 1))+1), ROW(A51))), "")</f>
        <v>무력 81</v>
      </c>
      <c r="E91" s="310"/>
      <c r="T91" s="101" t="str">
        <f t="array" ref="T91">IFERROR(INDEX(표1_3[☆], SMALL(IF(표1_3[5차성장]="O", ROW(표1_3[조건])-ROW(INDEX(표1_3[조건], 1, 1))+1), ROW(A51))), "")</f>
        <v>일꾼+10 / 일꾼+20</v>
      </c>
    </row>
    <row r="92" spans="1:20" x14ac:dyDescent="0.3">
      <c r="A92" s="112" t="str">
        <f t="array" ref="A92">IFERROR(INDEX(표1_3[책이름], SMALL(IF(표1_3[5차성장]="O", ROW(표1_3[책이름])-ROW(서책입력!$D$3)+1), ROW(A52))), "")</f>
        <v/>
      </c>
      <c r="B92" s="270" t="str">
        <f t="array" ref="B92">IFERROR(INDEX(표1_3[내 책 등급], SMALL(IF(표1_3[5차성장]="O", ROW(표1_3[내 책 등급])-ROW(서책입력!$E$3)+1), ROW(A52))), "")</f>
        <v/>
      </c>
      <c r="D92" s="310" t="str">
        <f t="array" ref="D92">IFERROR(INDEX(표1_3[조건], SMALL(IF(표1_3[5차성장]="O", ROW(표1_3[조건])-ROW(INDEX(표1_3[조건], 1, 1))+1), ROW(A52))) &amp; " " &amp; INDEX(표1_3[수치], SMALL(IF(표1_3[5차성장]="O", ROW(표1_3[조건])-ROW(INDEX(표1_3[조건], 1, 1))+1), ROW(A52))), "")</f>
        <v/>
      </c>
      <c r="E92" s="310"/>
      <c r="T92" s="101" t="str">
        <f t="array" ref="T92">IFERROR(INDEX(표1_3[☆], SMALL(IF(표1_3[5차성장]="O", ROW(표1_3[조건])-ROW(INDEX(표1_3[조건], 1, 1))+1), ROW(A52))), "")</f>
        <v/>
      </c>
    </row>
    <row r="93" spans="1:20" x14ac:dyDescent="0.3">
      <c r="A93" s="112" t="str">
        <f t="array" ref="A93">IFERROR(INDEX(표1_3[책이름], SMALL(IF(표1_3[5차성장]="O", ROW(표1_3[책이름])-ROW(서책입력!$D$3)+1), ROW(A53))), "")</f>
        <v/>
      </c>
      <c r="B93" s="270" t="str">
        <f t="array" ref="B93">IFERROR(INDEX(표1_3[내 책 등급], SMALL(IF(표1_3[5차성장]="O", ROW(표1_3[내 책 등급])-ROW(서책입력!$E$3)+1), ROW(A53))), "")</f>
        <v/>
      </c>
      <c r="D93" s="310" t="str">
        <f t="array" ref="D93">IFERROR(INDEX(표1_3[조건], SMALL(IF(표1_3[5차성장]="O", ROW(표1_3[조건])-ROW(INDEX(표1_3[조건], 1, 1))+1), ROW(A53))) &amp; " " &amp; INDEX(표1_3[수치], SMALL(IF(표1_3[5차성장]="O", ROW(표1_3[조건])-ROW(INDEX(표1_3[조건], 1, 1))+1), ROW(A53))), "")</f>
        <v/>
      </c>
      <c r="E93" s="310"/>
      <c r="T93" s="101" t="str">
        <f t="array" ref="T93">IFERROR(INDEX(표1_3[☆], SMALL(IF(표1_3[5차성장]="O", ROW(표1_3[조건])-ROW(INDEX(표1_3[조건], 1, 1))+1), ROW(A53))), "")</f>
        <v/>
      </c>
    </row>
    <row r="94" spans="1:20" x14ac:dyDescent="0.3">
      <c r="A94" s="112" t="str">
        <f t="array" ref="A94">IFERROR(INDEX(표1_3[책이름], SMALL(IF(표1_3[5차성장]="O", ROW(표1_3[책이름])-ROW(서책입력!$D$3)+1), ROW(A54))), "")</f>
        <v/>
      </c>
      <c r="B94" s="270" t="str">
        <f t="array" ref="B94">IFERROR(INDEX(표1_3[내 책 등급], SMALL(IF(표1_3[5차성장]="O", ROW(표1_3[내 책 등급])-ROW(서책입력!$E$3)+1), ROW(A54))), "")</f>
        <v/>
      </c>
      <c r="D94" s="310" t="str">
        <f t="array" ref="D94">IFERROR(INDEX(표1_3[조건], SMALL(IF(표1_3[5차성장]="O", ROW(표1_3[조건])-ROW(INDEX(표1_3[조건], 1, 1))+1), ROW(A54))) &amp; " " &amp; INDEX(표1_3[수치], SMALL(IF(표1_3[5차성장]="O", ROW(표1_3[조건])-ROW(INDEX(표1_3[조건], 1, 1))+1), ROW(A54))), "")</f>
        <v/>
      </c>
      <c r="E94" s="310"/>
      <c r="T94" s="101" t="str">
        <f t="array" ref="T94">IFERROR(INDEX(표1_3[☆], SMALL(IF(표1_3[5차성장]="O", ROW(표1_3[조건])-ROW(INDEX(표1_3[조건], 1, 1))+1), ROW(A54))), "")</f>
        <v/>
      </c>
    </row>
    <row r="95" spans="1:20" x14ac:dyDescent="0.3">
      <c r="A95" s="112" t="str">
        <f t="array" ref="A95">IFERROR(INDEX(표1_3[책이름], SMALL(IF(표1_3[5차성장]="O", ROW(표1_3[책이름])-ROW(서책입력!$D$3)+1), ROW(A55))), "")</f>
        <v/>
      </c>
      <c r="B95" s="270" t="str">
        <f t="array" ref="B95">IFERROR(INDEX(표1_3[내 책 등급], SMALL(IF(표1_3[5차성장]="O", ROW(표1_3[내 책 등급])-ROW(서책입력!$E$3)+1), ROW(A55))), "")</f>
        <v/>
      </c>
      <c r="D95" s="310" t="str">
        <f t="array" ref="D95">IFERROR(INDEX(표1_3[조건], SMALL(IF(표1_3[5차성장]="O", ROW(표1_3[조건])-ROW(INDEX(표1_3[조건], 1, 1))+1), ROW(A55))) &amp; " " &amp; INDEX(표1_3[수치], SMALL(IF(표1_3[5차성장]="O", ROW(표1_3[조건])-ROW(INDEX(표1_3[조건], 1, 1))+1), ROW(A55))), "")</f>
        <v/>
      </c>
      <c r="E95" s="310"/>
      <c r="T95" s="101" t="str">
        <f t="array" ref="T95">IFERROR(INDEX(표1_3[☆], SMALL(IF(표1_3[5차성장]="O", ROW(표1_3[조건])-ROW(INDEX(표1_3[조건], 1, 1))+1), ROW(A55))), "")</f>
        <v/>
      </c>
    </row>
    <row r="96" spans="1:20" x14ac:dyDescent="0.3">
      <c r="A96" s="112" t="str">
        <f t="array" ref="A96">IFERROR(INDEX(표1_3[책이름], SMALL(IF(표1_3[5차성장]="O", ROW(표1_3[책이름])-ROW(서책입력!$D$3)+1), ROW(A56))), "")</f>
        <v/>
      </c>
      <c r="B96" s="270" t="str">
        <f t="array" ref="B96">IFERROR(INDEX(표1_3[내 책 등급], SMALL(IF(표1_3[5차성장]="O", ROW(표1_3[내 책 등급])-ROW(서책입력!$E$3)+1), ROW(A56))), "")</f>
        <v/>
      </c>
      <c r="D96" s="310" t="str">
        <f t="array" ref="D96">IFERROR(INDEX(표1_3[조건], SMALL(IF(표1_3[5차성장]="O", ROW(표1_3[조건])-ROW(INDEX(표1_3[조건], 1, 1))+1), ROW(A56))) &amp; " " &amp; INDEX(표1_3[수치], SMALL(IF(표1_3[5차성장]="O", ROW(표1_3[조건])-ROW(INDEX(표1_3[조건], 1, 1))+1), ROW(A56))), "")</f>
        <v/>
      </c>
      <c r="E96" s="310"/>
      <c r="T96" s="101" t="str">
        <f t="array" ref="T96">IFERROR(INDEX(표1_3[☆], SMALL(IF(표1_3[5차성장]="O", ROW(표1_3[조건])-ROW(INDEX(표1_3[조건], 1, 1))+1), ROW(A56))), "")</f>
        <v/>
      </c>
    </row>
    <row r="97" spans="1:20" x14ac:dyDescent="0.3">
      <c r="A97" s="112" t="str">
        <f t="array" ref="A97">IFERROR(INDEX(표1_3[책이름], SMALL(IF(표1_3[5차성장]="O", ROW(표1_3[책이름])-ROW(서책입력!$D$3)+1), ROW(A57))), "")</f>
        <v/>
      </c>
      <c r="B97" s="270" t="str">
        <f t="array" ref="B97">IFERROR(INDEX(표1_3[내 책 등급], SMALL(IF(표1_3[5차성장]="O", ROW(표1_3[내 책 등급])-ROW(서책입력!$E$3)+1), ROW(A57))), "")</f>
        <v/>
      </c>
      <c r="D97" s="310" t="str">
        <f t="array" ref="D97">IFERROR(INDEX(표1_3[조건], SMALL(IF(표1_3[5차성장]="O", ROW(표1_3[조건])-ROW(INDEX(표1_3[조건], 1, 1))+1), ROW(A57))) &amp; " " &amp; INDEX(표1_3[수치], SMALL(IF(표1_3[5차성장]="O", ROW(표1_3[조건])-ROW(INDEX(표1_3[조건], 1, 1))+1), ROW(A57))), "")</f>
        <v/>
      </c>
      <c r="E97" s="310"/>
      <c r="T97" s="101" t="str">
        <f t="array" ref="T97">IFERROR(INDEX(표1_3[☆], SMALL(IF(표1_3[5차성장]="O", ROW(표1_3[조건])-ROW(INDEX(표1_3[조건], 1, 1))+1), ROW(A57))), "")</f>
        <v/>
      </c>
    </row>
    <row r="98" spans="1:20" x14ac:dyDescent="0.3">
      <c r="A98" s="112" t="str">
        <f t="array" ref="A98">IFERROR(INDEX(표1_3[책이름], SMALL(IF(표1_3[5차성장]="O", ROW(표1_3[책이름])-ROW(서책입력!$D$3)+1), ROW(A58))), "")</f>
        <v/>
      </c>
      <c r="B98" s="270" t="str">
        <f t="array" ref="B98">IFERROR(INDEX(표1_3[내 책 등급], SMALL(IF(표1_3[5차성장]="O", ROW(표1_3[내 책 등급])-ROW(서책입력!$E$3)+1), ROW(A58))), "")</f>
        <v/>
      </c>
      <c r="D98" s="310" t="str">
        <f t="array" ref="D98">IFERROR(INDEX(표1_3[조건], SMALL(IF(표1_3[5차성장]="O", ROW(표1_3[조건])-ROW(INDEX(표1_3[조건], 1, 1))+1), ROW(A58))) &amp; " " &amp; INDEX(표1_3[수치], SMALL(IF(표1_3[5차성장]="O", ROW(표1_3[조건])-ROW(INDEX(표1_3[조건], 1, 1))+1), ROW(A58))), "")</f>
        <v/>
      </c>
      <c r="E98" s="310"/>
      <c r="T98" s="101" t="str">
        <f t="array" ref="T98">IFERROR(INDEX(표1_3[☆], SMALL(IF(표1_3[5차성장]="O", ROW(표1_3[조건])-ROW(INDEX(표1_3[조건], 1, 1))+1), ROW(A58))), "")</f>
        <v/>
      </c>
    </row>
    <row r="99" spans="1:20" x14ac:dyDescent="0.3">
      <c r="A99" s="112" t="str">
        <f t="array" ref="A99">IFERROR(INDEX(표1_3[책이름], SMALL(IF(표1_3[5차성장]="O", ROW(표1_3[책이름])-ROW(서책입력!$D$3)+1), ROW(A59))), "")</f>
        <v/>
      </c>
      <c r="B99" s="270" t="str">
        <f t="array" ref="B99">IFERROR(INDEX(표1_3[내 책 등급], SMALL(IF(표1_3[5차성장]="O", ROW(표1_3[내 책 등급])-ROW(서책입력!$E$3)+1), ROW(A59))), "")</f>
        <v/>
      </c>
      <c r="D99" s="310" t="str">
        <f t="array" ref="D99">IFERROR(INDEX(표1_3[조건], SMALL(IF(표1_3[5차성장]="O", ROW(표1_3[조건])-ROW(INDEX(표1_3[조건], 1, 1))+1), ROW(A59))) &amp; " " &amp; INDEX(표1_3[수치], SMALL(IF(표1_3[5차성장]="O", ROW(표1_3[조건])-ROW(INDEX(표1_3[조건], 1, 1))+1), ROW(A59))), "")</f>
        <v/>
      </c>
      <c r="E99" s="310"/>
      <c r="T99" s="101" t="str">
        <f t="array" ref="T99">IFERROR(INDEX(표1_3[☆], SMALL(IF(표1_3[5차성장]="O", ROW(표1_3[조건])-ROW(INDEX(표1_3[조건], 1, 1))+1), ROW(A59))), "")</f>
        <v/>
      </c>
    </row>
    <row r="100" spans="1:20" x14ac:dyDescent="0.3">
      <c r="A100" s="112" t="str">
        <f t="array" ref="A100">IFERROR(INDEX(표1_3[책이름], SMALL(IF(표1_3[5차성장]="O", ROW(표1_3[책이름])-ROW(서책입력!$D$3)+1), ROW(A60))), "")</f>
        <v/>
      </c>
      <c r="B100" s="270" t="str">
        <f t="array" ref="B100">IFERROR(INDEX(표1_3[내 책 등급], SMALL(IF(표1_3[5차성장]="O", ROW(표1_3[내 책 등급])-ROW(서책입력!$E$3)+1), ROW(A60))), "")</f>
        <v/>
      </c>
      <c r="D100" s="310" t="str">
        <f t="array" ref="D100">IFERROR(INDEX(표1_3[조건], SMALL(IF(표1_3[5차성장]="O", ROW(표1_3[조건])-ROW(INDEX(표1_3[조건], 1, 1))+1), ROW(A60))) &amp; " " &amp; INDEX(표1_3[수치], SMALL(IF(표1_3[5차성장]="O", ROW(표1_3[조건])-ROW(INDEX(표1_3[조건], 1, 1))+1), ROW(A60))), "")</f>
        <v/>
      </c>
      <c r="E100" s="310"/>
      <c r="T100" s="101" t="str">
        <f t="array" ref="T100">IFERROR(INDEX(표1_3[☆], SMALL(IF(표1_3[5차성장]="O", ROW(표1_3[조건])-ROW(INDEX(표1_3[조건], 1, 1))+1), ROW(A60))), "")</f>
        <v/>
      </c>
    </row>
    <row r="101" spans="1:20" x14ac:dyDescent="0.3">
      <c r="A101" s="112" t="str">
        <f t="array" ref="A101">IFERROR(INDEX(표1_3[책이름], SMALL(IF(표1_3[5차성장]="O", ROW(표1_3[책이름])-ROW(서책입력!$D$3)+1), ROW(A61))), "")</f>
        <v/>
      </c>
      <c r="B101" s="270" t="str">
        <f t="array" ref="B101">IFERROR(INDEX(표1_3[내 책 등급], SMALL(IF(표1_3[5차성장]="O", ROW(표1_3[내 책 등급])-ROW(서책입력!$E$3)+1), ROW(A61))), "")</f>
        <v/>
      </c>
      <c r="D101" s="310" t="str">
        <f t="array" ref="D101">IFERROR(INDEX(표1_3[조건], SMALL(IF(표1_3[5차성장]="O", ROW(표1_3[조건])-ROW(INDEX(표1_3[조건], 1, 1))+1), ROW(A61))) &amp; " " &amp; INDEX(표1_3[수치], SMALL(IF(표1_3[5차성장]="O", ROW(표1_3[조건])-ROW(INDEX(표1_3[조건], 1, 1))+1), ROW(A61))), "")</f>
        <v/>
      </c>
      <c r="E101" s="310"/>
      <c r="T101" s="101" t="str">
        <f t="array" ref="T101">IFERROR(INDEX(표1_3[☆], SMALL(IF(표1_3[5차성장]="O", ROW(표1_3[조건])-ROW(INDEX(표1_3[조건], 1, 1))+1), ROW(A61))), "")</f>
        <v/>
      </c>
    </row>
    <row r="102" spans="1:20" x14ac:dyDescent="0.3">
      <c r="A102" s="112" t="str">
        <f t="array" ref="A102">IFERROR(INDEX(표1_3[책이름], SMALL(IF(표1_3[5차성장]="O", ROW(표1_3[책이름])-ROW(서책입력!$D$3)+1), ROW(A62))), "")</f>
        <v/>
      </c>
      <c r="B102" s="270" t="str">
        <f t="array" ref="B102">IFERROR(INDEX(표1_3[내 책 등급], SMALL(IF(표1_3[5차성장]="O", ROW(표1_3[내 책 등급])-ROW(서책입력!$E$3)+1), ROW(A62))), "")</f>
        <v/>
      </c>
      <c r="D102" s="310" t="str">
        <f t="array" ref="D102">IFERROR(INDEX(표1_3[조건], SMALL(IF(표1_3[5차성장]="O", ROW(표1_3[조건])-ROW(INDEX(표1_3[조건], 1, 1))+1), ROW(A62))) &amp; " " &amp; INDEX(표1_3[수치], SMALL(IF(표1_3[5차성장]="O", ROW(표1_3[조건])-ROW(INDEX(표1_3[조건], 1, 1))+1), ROW(A62))), "")</f>
        <v/>
      </c>
      <c r="E102" s="310"/>
      <c r="T102" s="101" t="str">
        <f t="array" ref="T102">IFERROR(INDEX(표1_3[☆], SMALL(IF(표1_3[5차성장]="O", ROW(표1_3[조건])-ROW(INDEX(표1_3[조건], 1, 1))+1), ROW(A62))), "")</f>
        <v/>
      </c>
    </row>
    <row r="103" spans="1:20" x14ac:dyDescent="0.3">
      <c r="A103" s="112" t="str">
        <f t="array" ref="A103">IFERROR(INDEX(표1_3[책이름], SMALL(IF(표1_3[5차성장]="O", ROW(표1_3[책이름])-ROW(서책입력!$D$3)+1), ROW(A63))), "")</f>
        <v/>
      </c>
      <c r="B103" s="270" t="str">
        <f t="array" ref="B103">IFERROR(INDEX(표1_3[내 책 등급], SMALL(IF(표1_3[5차성장]="O", ROW(표1_3[내 책 등급])-ROW(서책입력!$E$3)+1), ROW(A63))), "")</f>
        <v/>
      </c>
      <c r="D103" s="310" t="str">
        <f t="array" ref="D103">IFERROR(INDEX(표1_3[조건], SMALL(IF(표1_3[5차성장]="O", ROW(표1_3[조건])-ROW(INDEX(표1_3[조건], 1, 1))+1), ROW(A63))) &amp; " " &amp; INDEX(표1_3[수치], SMALL(IF(표1_3[5차성장]="O", ROW(표1_3[조건])-ROW(INDEX(표1_3[조건], 1, 1))+1), ROW(A63))), "")</f>
        <v/>
      </c>
      <c r="E103" s="310"/>
      <c r="T103" s="101" t="str">
        <f t="array" ref="T103">IFERROR(INDEX(표1_3[☆], SMALL(IF(표1_3[5차성장]="O", ROW(표1_3[조건])-ROW(INDEX(표1_3[조건], 1, 1))+1), ROW(A63))), "")</f>
        <v/>
      </c>
    </row>
    <row r="104" spans="1:20" x14ac:dyDescent="0.3">
      <c r="A104" s="112" t="str">
        <f t="array" ref="A104">IFERROR(INDEX(표1_3[책이름], SMALL(IF(표1_3[5차성장]="O", ROW(표1_3[책이름])-ROW(서책입력!$D$3)+1), ROW(A64))), "")</f>
        <v/>
      </c>
      <c r="B104" s="270" t="str">
        <f t="array" ref="B104">IFERROR(INDEX(표1_3[내 책 등급], SMALL(IF(표1_3[5차성장]="O", ROW(표1_3[내 책 등급])-ROW(서책입력!$E$3)+1), ROW(A64))), "")</f>
        <v/>
      </c>
      <c r="D104" s="310" t="str">
        <f t="array" ref="D104">IFERROR(INDEX(표1_3[조건], SMALL(IF(표1_3[5차성장]="O", ROW(표1_3[조건])-ROW(INDEX(표1_3[조건], 1, 1))+1), ROW(A64))) &amp; " " &amp; INDEX(표1_3[수치], SMALL(IF(표1_3[5차성장]="O", ROW(표1_3[조건])-ROW(INDEX(표1_3[조건], 1, 1))+1), ROW(A64))), "")</f>
        <v/>
      </c>
      <c r="E104" s="310"/>
      <c r="T104" s="101" t="str">
        <f t="array" ref="T104">IFERROR(INDEX(표1_3[☆], SMALL(IF(표1_3[5차성장]="O", ROW(표1_3[조건])-ROW(INDEX(표1_3[조건], 1, 1))+1), ROW(A64))), "")</f>
        <v/>
      </c>
    </row>
    <row r="105" spans="1:20" x14ac:dyDescent="0.3">
      <c r="A105" s="112" t="str">
        <f t="array" ref="A105">IFERROR(INDEX(표1_3[책이름], SMALL(IF(표1_3[5차성장]="O", ROW(표1_3[책이름])-ROW(서책입력!$D$3)+1), ROW(A65))), "")</f>
        <v/>
      </c>
      <c r="B105" s="270" t="str">
        <f t="array" ref="B105">IFERROR(INDEX(표1_3[내 책 등급], SMALL(IF(표1_3[5차성장]="O", ROW(표1_3[내 책 등급])-ROW(서책입력!$E$3)+1), ROW(A65))), "")</f>
        <v/>
      </c>
      <c r="D105" s="310" t="str">
        <f t="array" ref="D105">IFERROR(INDEX(표1_3[조건], SMALL(IF(표1_3[5차성장]="O", ROW(표1_3[조건])-ROW(INDEX(표1_3[조건], 1, 1))+1), ROW(A65))) &amp; " " &amp; INDEX(표1_3[수치], SMALL(IF(표1_3[5차성장]="O", ROW(표1_3[조건])-ROW(INDEX(표1_3[조건], 1, 1))+1), ROW(A65))), "")</f>
        <v/>
      </c>
      <c r="E105" s="310"/>
      <c r="T105" s="101" t="str">
        <f t="array" ref="T105">IFERROR(INDEX(표1_3[☆], SMALL(IF(표1_3[5차성장]="O", ROW(표1_3[조건])-ROW(INDEX(표1_3[조건], 1, 1))+1), ROW(A65))), "")</f>
        <v/>
      </c>
    </row>
    <row r="106" spans="1:20" x14ac:dyDescent="0.3">
      <c r="A106" s="112" t="str">
        <f t="array" ref="A106">IFERROR(INDEX(표1_3[책이름], SMALL(IF(표1_3[5차성장]="O", ROW(표1_3[책이름])-ROW(서책입력!$D$3)+1), ROW(A66))), "")</f>
        <v/>
      </c>
      <c r="B106" s="270" t="str">
        <f t="array" ref="B106">IFERROR(INDEX(표1_3[내 책 등급], SMALL(IF(표1_3[5차성장]="O", ROW(표1_3[내 책 등급])-ROW(서책입력!$E$3)+1), ROW(A66))), "")</f>
        <v/>
      </c>
      <c r="D106" s="310" t="str">
        <f t="array" ref="D106">IFERROR(INDEX(표1_3[조건], SMALL(IF(표1_3[5차성장]="O", ROW(표1_3[조건])-ROW(INDEX(표1_3[조건], 1, 1))+1), ROW(A66))) &amp; " " &amp; INDEX(표1_3[수치], SMALL(IF(표1_3[5차성장]="O", ROW(표1_3[조건])-ROW(INDEX(표1_3[조건], 1, 1))+1), ROW(A66))), "")</f>
        <v/>
      </c>
      <c r="E106" s="310"/>
      <c r="T106" s="101" t="str">
        <f t="array" ref="T106">IFERROR(INDEX(표1_3[☆], SMALL(IF(표1_3[5차성장]="O", ROW(표1_3[조건])-ROW(INDEX(표1_3[조건], 1, 1))+1), ROW(A66))), "")</f>
        <v/>
      </c>
    </row>
    <row r="107" spans="1:20" x14ac:dyDescent="0.3">
      <c r="A107" s="112" t="str">
        <f t="array" ref="A107">IFERROR(INDEX(표1_3[책이름], SMALL(IF(표1_3[5차성장]="O", ROW(표1_3[책이름])-ROW(서책입력!$D$3)+1), ROW(A67))), "")</f>
        <v/>
      </c>
      <c r="B107" s="270" t="str">
        <f t="array" ref="B107">IFERROR(INDEX(표1_3[내 책 등급], SMALL(IF(표1_3[5차성장]="O", ROW(표1_3[내 책 등급])-ROW(서책입력!$E$3)+1), ROW(A67))), "")</f>
        <v/>
      </c>
      <c r="D107" s="310" t="str">
        <f t="array" ref="D107">IFERROR(INDEX(표1_3[조건], SMALL(IF(표1_3[5차성장]="O", ROW(표1_3[조건])-ROW(INDEX(표1_3[조건], 1, 1))+1), ROW(A67))) &amp; " " &amp; INDEX(표1_3[수치], SMALL(IF(표1_3[5차성장]="O", ROW(표1_3[조건])-ROW(INDEX(표1_3[조건], 1, 1))+1), ROW(A67))), "")</f>
        <v/>
      </c>
      <c r="E107" s="310"/>
      <c r="T107" s="101" t="str">
        <f t="array" ref="T107">IFERROR(INDEX(표1_3[☆], SMALL(IF(표1_3[5차성장]="O", ROW(표1_3[조건])-ROW(INDEX(표1_3[조건], 1, 1))+1), ROW(A67))), "")</f>
        <v/>
      </c>
    </row>
    <row r="108" spans="1:20" x14ac:dyDescent="0.3">
      <c r="A108" s="112" t="str">
        <f t="array" ref="A108">IFERROR(INDEX(표1_3[책이름], SMALL(IF(표1_3[5차성장]="O", ROW(표1_3[책이름])-ROW(서책입력!$D$3)+1), ROW(A68))), "")</f>
        <v/>
      </c>
      <c r="B108" s="270" t="str">
        <f t="array" ref="B108">IFERROR(INDEX(표1_3[내 책 등급], SMALL(IF(표1_3[5차성장]="O", ROW(표1_3[내 책 등급])-ROW(서책입력!$E$3)+1), ROW(A68))), "")</f>
        <v/>
      </c>
      <c r="D108" s="310" t="str">
        <f t="array" ref="D108">IFERROR(INDEX(표1_3[조건], SMALL(IF(표1_3[5차성장]="O", ROW(표1_3[조건])-ROW(INDEX(표1_3[조건], 1, 1))+1), ROW(A68))) &amp; " " &amp; INDEX(표1_3[수치], SMALL(IF(표1_3[5차성장]="O", ROW(표1_3[조건])-ROW(INDEX(표1_3[조건], 1, 1))+1), ROW(A68))), "")</f>
        <v/>
      </c>
      <c r="E108" s="310"/>
      <c r="T108" s="101" t="str">
        <f t="array" ref="T108">IFERROR(INDEX(표1_3[☆], SMALL(IF(표1_3[5차성장]="O", ROW(표1_3[조건])-ROW(INDEX(표1_3[조건], 1, 1))+1), ROW(A68))), "")</f>
        <v/>
      </c>
    </row>
    <row r="109" spans="1:20" x14ac:dyDescent="0.3">
      <c r="A109" s="112" t="str">
        <f t="array" ref="A109">IFERROR(INDEX(표1_3[책이름], SMALL(IF(표1_3[5차성장]="O", ROW(표1_3[책이름])-ROW(서책입력!$D$3)+1), ROW(A69))), "")</f>
        <v/>
      </c>
      <c r="B109" s="270" t="str">
        <f t="array" ref="B109">IFERROR(INDEX(표1_3[내 책 등급], SMALL(IF(표1_3[5차성장]="O", ROW(표1_3[내 책 등급])-ROW(서책입력!$E$3)+1), ROW(A69))), "")</f>
        <v/>
      </c>
      <c r="D109" s="310" t="str">
        <f t="array" ref="D109">IFERROR(INDEX(표1_3[조건], SMALL(IF(표1_3[5차성장]="O", ROW(표1_3[조건])-ROW(INDEX(표1_3[조건], 1, 1))+1), ROW(A69))) &amp; " " &amp; INDEX(표1_3[수치], SMALL(IF(표1_3[5차성장]="O", ROW(표1_3[조건])-ROW(INDEX(표1_3[조건], 1, 1))+1), ROW(A69))), "")</f>
        <v/>
      </c>
      <c r="E109" s="310"/>
      <c r="T109" s="101" t="str">
        <f t="array" ref="T109">IFERROR(INDEX(표1_3[☆], SMALL(IF(표1_3[5차성장]="O", ROW(표1_3[조건])-ROW(INDEX(표1_3[조건], 1, 1))+1), ROW(A69))), "")</f>
        <v/>
      </c>
    </row>
    <row r="110" spans="1:20" x14ac:dyDescent="0.3">
      <c r="A110" s="112" t="str">
        <f t="array" ref="A110">IFERROR(INDEX(표1_3[책이름], SMALL(IF(표1_3[5차성장]="O", ROW(표1_3[책이름])-ROW(서책입력!$D$3)+1), ROW(A70))), "")</f>
        <v/>
      </c>
      <c r="B110" s="270" t="str">
        <f t="array" ref="B110">IFERROR(INDEX(표1_3[내 책 등급], SMALL(IF(표1_3[5차성장]="O", ROW(표1_3[내 책 등급])-ROW(서책입력!$E$3)+1), ROW(A70))), "")</f>
        <v/>
      </c>
      <c r="D110" s="310" t="str">
        <f t="array" ref="D110">IFERROR(INDEX(표1_3[조건], SMALL(IF(표1_3[5차성장]="O", ROW(표1_3[조건])-ROW(INDEX(표1_3[조건], 1, 1))+1), ROW(A70))) &amp; " " &amp; INDEX(표1_3[수치], SMALL(IF(표1_3[5차성장]="O", ROW(표1_3[조건])-ROW(INDEX(표1_3[조건], 1, 1))+1), ROW(A70))), "")</f>
        <v/>
      </c>
      <c r="E110" s="310"/>
      <c r="T110" s="101" t="str">
        <f t="array" ref="T110">IFERROR(INDEX(표1_3[☆], SMALL(IF(표1_3[5차성장]="O", ROW(표1_3[조건])-ROW(INDEX(표1_3[조건], 1, 1))+1), ROW(A70))), "")</f>
        <v/>
      </c>
    </row>
    <row r="111" spans="1:20" x14ac:dyDescent="0.3">
      <c r="A111" s="112" t="str">
        <f t="array" ref="A111">IFERROR(INDEX(표1_3[책이름], SMALL(IF(표1_3[5차성장]="O", ROW(표1_3[책이름])-ROW(서책입력!$D$3)+1), ROW(A71))), "")</f>
        <v/>
      </c>
      <c r="B111" s="270" t="str">
        <f t="array" ref="B111">IFERROR(INDEX(표1_3[내 책 등급], SMALL(IF(표1_3[5차성장]="O", ROW(표1_3[내 책 등급])-ROW(서책입력!$E$3)+1), ROW(A71))), "")</f>
        <v/>
      </c>
      <c r="D111" s="310" t="str">
        <f t="array" ref="D111">IFERROR(INDEX(표1_3[조건], SMALL(IF(표1_3[5차성장]="O", ROW(표1_3[조건])-ROW(INDEX(표1_3[조건], 1, 1))+1), ROW(A71))) &amp; " " &amp; INDEX(표1_3[수치], SMALL(IF(표1_3[5차성장]="O", ROW(표1_3[조건])-ROW(INDEX(표1_3[조건], 1, 1))+1), ROW(A71))), "")</f>
        <v/>
      </c>
      <c r="E111" s="310"/>
      <c r="T111" s="101" t="str">
        <f t="array" ref="T111">IFERROR(INDEX(표1_3[☆], SMALL(IF(표1_3[5차성장]="O", ROW(표1_3[조건])-ROW(INDEX(표1_3[조건], 1, 1))+1), ROW(A71))), "")</f>
        <v/>
      </c>
    </row>
    <row r="112" spans="1:20" x14ac:dyDescent="0.3">
      <c r="A112" s="112" t="str">
        <f t="array" ref="A112">IFERROR(INDEX(표1_3[책이름], SMALL(IF(표1_3[5차성장]="O", ROW(표1_3[책이름])-ROW(서책입력!$D$3)+1), ROW(A72))), "")</f>
        <v/>
      </c>
      <c r="B112" s="270" t="str">
        <f t="array" ref="B112">IFERROR(INDEX(표1_3[내 책 등급], SMALL(IF(표1_3[5차성장]="O", ROW(표1_3[내 책 등급])-ROW(서책입력!$E$3)+1), ROW(A72))), "")</f>
        <v/>
      </c>
      <c r="D112" s="310" t="str">
        <f t="array" ref="D112">IFERROR(INDEX(표1_3[조건], SMALL(IF(표1_3[5차성장]="O", ROW(표1_3[조건])-ROW(INDEX(표1_3[조건], 1, 1))+1), ROW(A72))) &amp; " " &amp; INDEX(표1_3[수치], SMALL(IF(표1_3[5차성장]="O", ROW(표1_3[조건])-ROW(INDEX(표1_3[조건], 1, 1))+1), ROW(A72))), "")</f>
        <v/>
      </c>
      <c r="E112" s="310"/>
      <c r="T112" s="101" t="str">
        <f t="array" ref="T112">IFERROR(INDEX(표1_3[☆], SMALL(IF(표1_3[5차성장]="O", ROW(표1_3[조건])-ROW(INDEX(표1_3[조건], 1, 1))+1), ROW(A72))), "")</f>
        <v/>
      </c>
    </row>
    <row r="113" spans="1:20" x14ac:dyDescent="0.3">
      <c r="A113" s="112" t="str">
        <f t="array" ref="A113">IFERROR(INDEX(표1_3[책이름], SMALL(IF(표1_3[5차성장]="O", ROW(표1_3[책이름])-ROW(서책입력!$D$3)+1), ROW(A73))), "")</f>
        <v/>
      </c>
      <c r="B113" s="270" t="str">
        <f t="array" ref="B113">IFERROR(INDEX(표1_3[내 책 등급], SMALL(IF(표1_3[5차성장]="O", ROW(표1_3[내 책 등급])-ROW(서책입력!$E$3)+1), ROW(A73))), "")</f>
        <v/>
      </c>
      <c r="D113" s="310" t="str">
        <f t="array" ref="D113">IFERROR(INDEX(표1_3[조건], SMALL(IF(표1_3[5차성장]="O", ROW(표1_3[조건])-ROW(INDEX(표1_3[조건], 1, 1))+1), ROW(A73))) &amp; " " &amp; INDEX(표1_3[수치], SMALL(IF(표1_3[5차성장]="O", ROW(표1_3[조건])-ROW(INDEX(표1_3[조건], 1, 1))+1), ROW(A73))), "")</f>
        <v/>
      </c>
      <c r="E113" s="310"/>
      <c r="T113" s="101" t="str">
        <f t="array" ref="T113">IFERROR(INDEX(표1_3[☆], SMALL(IF(표1_3[5차성장]="O", ROW(표1_3[조건])-ROW(INDEX(표1_3[조건], 1, 1))+1), ROW(A73))), "")</f>
        <v/>
      </c>
    </row>
    <row r="114" spans="1:20" x14ac:dyDescent="0.3">
      <c r="A114" s="112" t="str">
        <f t="array" ref="A114">IFERROR(INDEX(표1_3[책이름], SMALL(IF(표1_3[5차성장]="O", ROW(표1_3[책이름])-ROW(서책입력!$D$3)+1), ROW(A74))), "")</f>
        <v/>
      </c>
      <c r="B114" s="270" t="str">
        <f t="array" ref="B114">IFERROR(INDEX(표1_3[내 책 등급], SMALL(IF(표1_3[5차성장]="O", ROW(표1_3[내 책 등급])-ROW(서책입력!$E$3)+1), ROW(A74))), "")</f>
        <v/>
      </c>
      <c r="D114" s="310" t="str">
        <f t="array" ref="D114">IFERROR(INDEX(표1_3[조건], SMALL(IF(표1_3[5차성장]="O", ROW(표1_3[조건])-ROW(INDEX(표1_3[조건], 1, 1))+1), ROW(A74))) &amp; " " &amp; INDEX(표1_3[수치], SMALL(IF(표1_3[5차성장]="O", ROW(표1_3[조건])-ROW(INDEX(표1_3[조건], 1, 1))+1), ROW(A74))), "")</f>
        <v/>
      </c>
      <c r="E114" s="310"/>
      <c r="T114" s="101" t="str">
        <f t="array" ref="T114">IFERROR(INDEX(표1_3[☆], SMALL(IF(표1_3[5차성장]="O", ROW(표1_3[조건])-ROW(INDEX(표1_3[조건], 1, 1))+1), ROW(A74))), "")</f>
        <v/>
      </c>
    </row>
    <row r="115" spans="1:20" x14ac:dyDescent="0.3">
      <c r="A115" s="112" t="str">
        <f t="array" ref="A115">IFERROR(INDEX(표1_3[책이름], SMALL(IF(표1_3[5차성장]="O", ROW(표1_3[책이름])-ROW(서책입력!$D$3)+1), ROW(A75))), "")</f>
        <v/>
      </c>
      <c r="B115" s="270" t="str">
        <f t="array" ref="B115">IFERROR(INDEX(표1_3[내 책 등급], SMALL(IF(표1_3[5차성장]="O", ROW(표1_3[내 책 등급])-ROW(서책입력!$E$3)+1), ROW(A75))), "")</f>
        <v/>
      </c>
      <c r="D115" s="310" t="str">
        <f t="array" ref="D115">IFERROR(INDEX(표1_3[조건], SMALL(IF(표1_3[5차성장]="O", ROW(표1_3[조건])-ROW(INDEX(표1_3[조건], 1, 1))+1), ROW(A75))) &amp; " " &amp; INDEX(표1_3[수치], SMALL(IF(표1_3[5차성장]="O", ROW(표1_3[조건])-ROW(INDEX(표1_3[조건], 1, 1))+1), ROW(A75))), "")</f>
        <v/>
      </c>
      <c r="E115" s="310"/>
      <c r="T115" s="101" t="str">
        <f t="array" ref="T115">IFERROR(INDEX(표1_3[☆], SMALL(IF(표1_3[5차성장]="O", ROW(표1_3[조건])-ROW(INDEX(표1_3[조건], 1, 1))+1), ROW(A75))), "")</f>
        <v/>
      </c>
    </row>
    <row r="116" spans="1:20" x14ac:dyDescent="0.3">
      <c r="A116" s="112" t="str">
        <f t="array" ref="A116">IFERROR(INDEX(표1_3[책이름], SMALL(IF(표1_3[5차성장]="O", ROW(표1_3[책이름])-ROW(서책입력!$D$3)+1), ROW(A76))), "")</f>
        <v/>
      </c>
      <c r="B116" s="270" t="str">
        <f t="array" ref="B116">IFERROR(INDEX(표1_3[내 책 등급], SMALL(IF(표1_3[5차성장]="O", ROW(표1_3[내 책 등급])-ROW(서책입력!$E$3)+1), ROW(A76))), "")</f>
        <v/>
      </c>
      <c r="D116" s="310" t="str">
        <f t="array" ref="D116">IFERROR(INDEX(표1_3[조건], SMALL(IF(표1_3[5차성장]="O", ROW(표1_3[조건])-ROW(INDEX(표1_3[조건], 1, 1))+1), ROW(A76))) &amp; " " &amp; INDEX(표1_3[수치], SMALL(IF(표1_3[5차성장]="O", ROW(표1_3[조건])-ROW(INDEX(표1_3[조건], 1, 1))+1), ROW(A76))), "")</f>
        <v/>
      </c>
      <c r="E116" s="310"/>
      <c r="T116" s="101" t="str">
        <f t="array" ref="T116">IFERROR(INDEX(표1_3[☆], SMALL(IF(표1_3[5차성장]="O", ROW(표1_3[조건])-ROW(INDEX(표1_3[조건], 1, 1))+1), ROW(A76))), "")</f>
        <v/>
      </c>
    </row>
    <row r="117" spans="1:20" x14ac:dyDescent="0.3">
      <c r="A117" s="112" t="str">
        <f t="array" ref="A117">IFERROR(INDEX(표1_3[책이름], SMALL(IF(표1_3[5차성장]="O", ROW(표1_3[책이름])-ROW(서책입력!$D$3)+1), ROW(A77))), "")</f>
        <v/>
      </c>
      <c r="B117" s="270" t="str">
        <f t="array" ref="B117">IFERROR(INDEX(표1_3[내 책 등급], SMALL(IF(표1_3[5차성장]="O", ROW(표1_3[내 책 등급])-ROW(서책입력!$E$3)+1), ROW(A77))), "")</f>
        <v/>
      </c>
      <c r="D117" s="310" t="str">
        <f t="array" ref="D117">IFERROR(INDEX(표1_3[조건], SMALL(IF(표1_3[5차성장]="O", ROW(표1_3[조건])-ROW(INDEX(표1_3[조건], 1, 1))+1), ROW(A77))) &amp; " " &amp; INDEX(표1_3[수치], SMALL(IF(표1_3[5차성장]="O", ROW(표1_3[조건])-ROW(INDEX(표1_3[조건], 1, 1))+1), ROW(A77))), "")</f>
        <v/>
      </c>
      <c r="E117" s="310"/>
      <c r="T117" s="101" t="str">
        <f t="array" ref="T117">IFERROR(INDEX(표1_3[☆], SMALL(IF(표1_3[5차성장]="O", ROW(표1_3[조건])-ROW(INDEX(표1_3[조건], 1, 1))+1), ROW(A77))), "")</f>
        <v/>
      </c>
    </row>
    <row r="118" spans="1:20" x14ac:dyDescent="0.3">
      <c r="A118" s="112" t="str">
        <f t="array" ref="A118">IFERROR(INDEX(표1_3[책이름], SMALL(IF(표1_3[5차성장]="O", ROW(표1_3[책이름])-ROW(서책입력!$D$3)+1), ROW(A78))), "")</f>
        <v/>
      </c>
      <c r="B118" s="270" t="str">
        <f t="array" ref="B118">IFERROR(INDEX(표1_3[내 책 등급], SMALL(IF(표1_3[5차성장]="O", ROW(표1_3[내 책 등급])-ROW(서책입력!$E$3)+1), ROW(A78))), "")</f>
        <v/>
      </c>
      <c r="D118" s="310" t="str">
        <f t="array" ref="D118">IFERROR(INDEX(표1_3[조건], SMALL(IF(표1_3[5차성장]="O", ROW(표1_3[조건])-ROW(INDEX(표1_3[조건], 1, 1))+1), ROW(A78))) &amp; " " &amp; INDEX(표1_3[수치], SMALL(IF(표1_3[5차성장]="O", ROW(표1_3[조건])-ROW(INDEX(표1_3[조건], 1, 1))+1), ROW(A78))), "")</f>
        <v/>
      </c>
      <c r="E118" s="310"/>
      <c r="T118" s="101" t="str">
        <f t="array" ref="T118">IFERROR(INDEX(표1_3[☆], SMALL(IF(표1_3[5차성장]="O", ROW(표1_3[조건])-ROW(INDEX(표1_3[조건], 1, 1))+1), ROW(A78))), "")</f>
        <v/>
      </c>
    </row>
    <row r="119" spans="1:20" x14ac:dyDescent="0.3">
      <c r="A119" s="112" t="str">
        <f t="array" ref="A119">IFERROR(INDEX(표1_3[책이름], SMALL(IF(표1_3[5차성장]="O", ROW(표1_3[책이름])-ROW(서책입력!$D$3)+1), ROW(A79))), "")</f>
        <v/>
      </c>
      <c r="B119" s="270" t="str">
        <f t="array" ref="B119">IFERROR(INDEX(표1_3[내 책 등급], SMALL(IF(표1_3[5차성장]="O", ROW(표1_3[내 책 등급])-ROW(서책입력!$E$3)+1), ROW(A79))), "")</f>
        <v/>
      </c>
      <c r="D119" s="310" t="str">
        <f t="array" ref="D119">IFERROR(INDEX(표1_3[조건], SMALL(IF(표1_3[5차성장]="O", ROW(표1_3[조건])-ROW(INDEX(표1_3[조건], 1, 1))+1), ROW(A79))) &amp; " " &amp; INDEX(표1_3[수치], SMALL(IF(표1_3[5차성장]="O", ROW(표1_3[조건])-ROW(INDEX(표1_3[조건], 1, 1))+1), ROW(A79))), "")</f>
        <v/>
      </c>
      <c r="E119" s="310"/>
      <c r="T119" s="101" t="str">
        <f t="array" ref="T119">IFERROR(INDEX(표1_3[☆], SMALL(IF(표1_3[5차성장]="O", ROW(표1_3[조건])-ROW(INDEX(표1_3[조건], 1, 1))+1), ROW(A79))), "")</f>
        <v/>
      </c>
    </row>
    <row r="120" spans="1:20" x14ac:dyDescent="0.3">
      <c r="A120" s="112" t="str">
        <f t="array" ref="A120">IFERROR(INDEX(표1_3[책이름], SMALL(IF(표1_3[5차성장]="O", ROW(표1_3[책이름])-ROW(서책입력!$D$3)+1), ROW(A80))), "")</f>
        <v/>
      </c>
      <c r="B120" s="270" t="str">
        <f t="array" ref="B120">IFERROR(INDEX(표1_3[내 책 등급], SMALL(IF(표1_3[5차성장]="O", ROW(표1_3[내 책 등급])-ROW(서책입력!$E$3)+1), ROW(A80))), "")</f>
        <v/>
      </c>
      <c r="D120" s="310" t="str">
        <f t="array" ref="D120">IFERROR(INDEX(표1_3[조건], SMALL(IF(표1_3[5차성장]="O", ROW(표1_3[조건])-ROW(INDEX(표1_3[조건], 1, 1))+1), ROW(A80))) &amp; " " &amp; INDEX(표1_3[수치], SMALL(IF(표1_3[5차성장]="O", ROW(표1_3[조건])-ROW(INDEX(표1_3[조건], 1, 1))+1), ROW(A80))), "")</f>
        <v/>
      </c>
      <c r="E120" s="310"/>
      <c r="T120" s="101" t="str">
        <f t="array" ref="T120">IFERROR(INDEX(표1_3[☆], SMALL(IF(표1_3[5차성장]="O", ROW(표1_3[조건])-ROW(INDEX(표1_3[조건], 1, 1))+1), ROW(A80))), "")</f>
        <v/>
      </c>
    </row>
    <row r="121" spans="1:20" x14ac:dyDescent="0.3">
      <c r="A121" s="112" t="str">
        <f t="array" ref="A121">IFERROR(INDEX(표1_3[책이름], SMALL(IF(표1_3[5차성장]="O", ROW(표1_3[책이름])-ROW(서책입력!$D$3)+1), ROW(A81))), "")</f>
        <v/>
      </c>
      <c r="B121" s="270" t="str">
        <f t="array" ref="B121">IFERROR(INDEX(표1_3[내 책 등급], SMALL(IF(표1_3[5차성장]="O", ROW(표1_3[내 책 등급])-ROW(서책입력!$E$3)+1), ROW(A81))), "")</f>
        <v/>
      </c>
      <c r="D121" s="310" t="str">
        <f t="array" ref="D121">IFERROR(INDEX(표1_3[조건], SMALL(IF(표1_3[5차성장]="O", ROW(표1_3[조건])-ROW(INDEX(표1_3[조건], 1, 1))+1), ROW(A81))) &amp; " " &amp; INDEX(표1_3[수치], SMALL(IF(표1_3[5차성장]="O", ROW(표1_3[조건])-ROW(INDEX(표1_3[조건], 1, 1))+1), ROW(A81))), "")</f>
        <v/>
      </c>
      <c r="E121" s="310"/>
      <c r="T121" s="101" t="str">
        <f t="array" ref="T121">IFERROR(INDEX(표1_3[☆], SMALL(IF(표1_3[5차성장]="O", ROW(표1_3[조건])-ROW(INDEX(표1_3[조건], 1, 1))+1), ROW(A81))), "")</f>
        <v/>
      </c>
    </row>
    <row r="122" spans="1:20" x14ac:dyDescent="0.3">
      <c r="A122" s="112" t="str">
        <f t="array" ref="A122">IFERROR(INDEX(표1_3[책이름], SMALL(IF(표1_3[5차성장]="O", ROW(표1_3[책이름])-ROW(서책입력!$D$3)+1), ROW(A82))), "")</f>
        <v/>
      </c>
      <c r="B122" s="270" t="str">
        <f t="array" ref="B122">IFERROR(INDEX(표1_3[내 책 등급], SMALL(IF(표1_3[5차성장]="O", ROW(표1_3[내 책 등급])-ROW(서책입력!$E$3)+1), ROW(A82))), "")</f>
        <v/>
      </c>
      <c r="D122" s="310" t="str">
        <f t="array" ref="D122">IFERROR(INDEX(표1_3[조건], SMALL(IF(표1_3[5차성장]="O", ROW(표1_3[조건])-ROW(INDEX(표1_3[조건], 1, 1))+1), ROW(A82))) &amp; " " &amp; INDEX(표1_3[수치], SMALL(IF(표1_3[5차성장]="O", ROW(표1_3[조건])-ROW(INDEX(표1_3[조건], 1, 1))+1), ROW(A82))), "")</f>
        <v/>
      </c>
      <c r="E122" s="310"/>
      <c r="T122" s="101" t="str">
        <f t="array" ref="T122">IFERROR(INDEX(표1_3[☆], SMALL(IF(표1_3[5차성장]="O", ROW(표1_3[조건])-ROW(INDEX(표1_3[조건], 1, 1))+1), ROW(A82))), "")</f>
        <v/>
      </c>
    </row>
    <row r="123" spans="1:20" x14ac:dyDescent="0.3">
      <c r="A123" s="112" t="str">
        <f t="array" ref="A123">IFERROR(INDEX(표1_3[책이름], SMALL(IF(표1_3[5차성장]="O", ROW(표1_3[책이름])-ROW(서책입력!$D$3)+1), ROW(A83))), "")</f>
        <v/>
      </c>
      <c r="B123" s="270" t="str">
        <f t="array" ref="B123">IFERROR(INDEX(표1_3[내 책 등급], SMALL(IF(표1_3[5차성장]="O", ROW(표1_3[내 책 등급])-ROW(서책입력!$E$3)+1), ROW(A83))), "")</f>
        <v/>
      </c>
      <c r="D123" s="310" t="str">
        <f t="array" ref="D123">IFERROR(INDEX(표1_3[조건], SMALL(IF(표1_3[5차성장]="O", ROW(표1_3[조건])-ROW(INDEX(표1_3[조건], 1, 1))+1), ROW(A83))) &amp; " " &amp; INDEX(표1_3[수치], SMALL(IF(표1_3[5차성장]="O", ROW(표1_3[조건])-ROW(INDEX(표1_3[조건], 1, 1))+1), ROW(A83))), "")</f>
        <v/>
      </c>
      <c r="E123" s="310"/>
      <c r="T123" s="101" t="str">
        <f t="array" ref="T123">IFERROR(INDEX(표1_3[☆], SMALL(IF(표1_3[5차성장]="O", ROW(표1_3[조건])-ROW(INDEX(표1_3[조건], 1, 1))+1), ROW(A83))), "")</f>
        <v/>
      </c>
    </row>
    <row r="124" spans="1:20" x14ac:dyDescent="0.3">
      <c r="A124" s="112" t="str">
        <f t="array" ref="A124">IFERROR(INDEX(표1_3[책이름], SMALL(IF(표1_3[5차성장]="O", ROW(표1_3[책이름])-ROW(서책입력!$D$3)+1), ROW(A84))), "")</f>
        <v/>
      </c>
      <c r="B124" s="270" t="str">
        <f t="array" ref="B124">IFERROR(INDEX(표1_3[내 책 등급], SMALL(IF(표1_3[5차성장]="O", ROW(표1_3[내 책 등급])-ROW(서책입력!$E$3)+1), ROW(A84))), "")</f>
        <v/>
      </c>
      <c r="D124" s="310" t="str">
        <f t="array" ref="D124">IFERROR(INDEX(표1_3[조건], SMALL(IF(표1_3[5차성장]="O", ROW(표1_3[조건])-ROW(INDEX(표1_3[조건], 1, 1))+1), ROW(A84))) &amp; " " &amp; INDEX(표1_3[수치], SMALL(IF(표1_3[5차성장]="O", ROW(표1_3[조건])-ROW(INDEX(표1_3[조건], 1, 1))+1), ROW(A84))), "")</f>
        <v/>
      </c>
      <c r="E124" s="310"/>
      <c r="T124" s="101" t="str">
        <f t="array" ref="T124">IFERROR(INDEX(표1_3[☆], SMALL(IF(표1_3[5차성장]="O", ROW(표1_3[조건])-ROW(INDEX(표1_3[조건], 1, 1))+1), ROW(A84))), "")</f>
        <v/>
      </c>
    </row>
    <row r="125" spans="1:20" x14ac:dyDescent="0.3">
      <c r="A125" s="112" t="str">
        <f t="array" ref="A125">IFERROR(INDEX(표1_3[책이름], SMALL(IF(표1_3[5차성장]="O", ROW(표1_3[책이름])-ROW(서책입력!$D$3)+1), ROW(A85))), "")</f>
        <v/>
      </c>
      <c r="B125" s="270" t="str">
        <f t="array" ref="B125">IFERROR(INDEX(표1_3[내 책 등급], SMALL(IF(표1_3[5차성장]="O", ROW(표1_3[내 책 등급])-ROW(서책입력!$E$3)+1), ROW(A85))), "")</f>
        <v/>
      </c>
      <c r="D125" s="310" t="str">
        <f t="array" ref="D125">IFERROR(INDEX(표1_3[조건], SMALL(IF(표1_3[5차성장]="O", ROW(표1_3[조건])-ROW(INDEX(표1_3[조건], 1, 1))+1), ROW(A85))) &amp; " " &amp; INDEX(표1_3[수치], SMALL(IF(표1_3[5차성장]="O", ROW(표1_3[조건])-ROW(INDEX(표1_3[조건], 1, 1))+1), ROW(A85))), "")</f>
        <v/>
      </c>
      <c r="E125" s="310"/>
      <c r="T125" s="101" t="str">
        <f t="array" ref="T125">IFERROR(INDEX(표1_3[☆], SMALL(IF(표1_3[5차성장]="O", ROW(표1_3[조건])-ROW(INDEX(표1_3[조건], 1, 1))+1), ROW(A85))), "")</f>
        <v/>
      </c>
    </row>
    <row r="126" spans="1:20" x14ac:dyDescent="0.3">
      <c r="A126" s="112" t="str">
        <f t="array" ref="A126">IFERROR(INDEX(표1_3[책이름], SMALL(IF(표1_3[5차성장]="O", ROW(표1_3[책이름])-ROW(서책입력!$D$3)+1), ROW(A86))), "")</f>
        <v/>
      </c>
      <c r="B126" s="270" t="str">
        <f t="array" ref="B126">IFERROR(INDEX(표1_3[내 책 등급], SMALL(IF(표1_3[5차성장]="O", ROW(표1_3[내 책 등급])-ROW(서책입력!$E$3)+1), ROW(A86))), "")</f>
        <v/>
      </c>
      <c r="D126" s="310" t="str">
        <f t="array" ref="D126">IFERROR(INDEX(표1_3[조건], SMALL(IF(표1_3[5차성장]="O", ROW(표1_3[조건])-ROW(INDEX(표1_3[조건], 1, 1))+1), ROW(A86))) &amp; " " &amp; INDEX(표1_3[수치], SMALL(IF(표1_3[5차성장]="O", ROW(표1_3[조건])-ROW(INDEX(표1_3[조건], 1, 1))+1), ROW(A86))), "")</f>
        <v/>
      </c>
      <c r="E126" s="310"/>
      <c r="T126" s="101" t="str">
        <f t="array" ref="T126">IFERROR(INDEX(표1_3[☆], SMALL(IF(표1_3[5차성장]="O", ROW(표1_3[조건])-ROW(INDEX(표1_3[조건], 1, 1))+1), ROW(A86))), "")</f>
        <v/>
      </c>
    </row>
    <row r="127" spans="1:20" x14ac:dyDescent="0.3">
      <c r="A127" s="112" t="str">
        <f t="array" ref="A127">IFERROR(INDEX(표1_3[책이름], SMALL(IF(표1_3[5차성장]="O", ROW(표1_3[책이름])-ROW(서책입력!$D$3)+1), ROW(A87))), "")</f>
        <v/>
      </c>
      <c r="B127" s="270" t="str">
        <f t="array" ref="B127">IFERROR(INDEX(표1_3[내 책 등급], SMALL(IF(표1_3[5차성장]="O", ROW(표1_3[내 책 등급])-ROW(서책입력!$E$3)+1), ROW(A87))), "")</f>
        <v/>
      </c>
      <c r="D127" s="310" t="str">
        <f t="array" ref="D127">IFERROR(INDEX(표1_3[조건], SMALL(IF(표1_3[5차성장]="O", ROW(표1_3[조건])-ROW(INDEX(표1_3[조건], 1, 1))+1), ROW(A87))) &amp; " " &amp; INDEX(표1_3[수치], SMALL(IF(표1_3[5차성장]="O", ROW(표1_3[조건])-ROW(INDEX(표1_3[조건], 1, 1))+1), ROW(A87))), "")</f>
        <v/>
      </c>
      <c r="E127" s="310"/>
      <c r="T127" s="101" t="str">
        <f t="array" ref="T127">IFERROR(INDEX(표1_3[☆], SMALL(IF(표1_3[5차성장]="O", ROW(표1_3[조건])-ROW(INDEX(표1_3[조건], 1, 1))+1), ROW(A87))), "")</f>
        <v/>
      </c>
    </row>
    <row r="128" spans="1:20" x14ac:dyDescent="0.3">
      <c r="A128" s="112" t="str">
        <f t="array" ref="A128">IFERROR(INDEX(표1_3[책이름], SMALL(IF(표1_3[5차성장]="O", ROW(표1_3[책이름])-ROW(서책입력!$D$3)+1), ROW(A88))), "")</f>
        <v/>
      </c>
      <c r="B128" s="270" t="str">
        <f t="array" ref="B128">IFERROR(INDEX(표1_3[내 책 등급], SMALL(IF(표1_3[5차성장]="O", ROW(표1_3[내 책 등급])-ROW(서책입력!$E$3)+1), ROW(A88))), "")</f>
        <v/>
      </c>
      <c r="D128" s="310" t="str">
        <f t="array" ref="D128">IFERROR(INDEX(표1_3[조건], SMALL(IF(표1_3[5차성장]="O", ROW(표1_3[조건])-ROW(INDEX(표1_3[조건], 1, 1))+1), ROW(A88))) &amp; " " &amp; INDEX(표1_3[수치], SMALL(IF(표1_3[5차성장]="O", ROW(표1_3[조건])-ROW(INDEX(표1_3[조건], 1, 1))+1), ROW(A88))), "")</f>
        <v/>
      </c>
      <c r="E128" s="310"/>
      <c r="T128" s="101" t="str">
        <f t="array" ref="T128">IFERROR(INDEX(표1_3[☆], SMALL(IF(표1_3[5차성장]="O", ROW(표1_3[조건])-ROW(INDEX(표1_3[조건], 1, 1))+1), ROW(A88))), "")</f>
        <v/>
      </c>
    </row>
    <row r="129" spans="1:20" x14ac:dyDescent="0.3">
      <c r="A129" s="112" t="str">
        <f t="array" ref="A129">IFERROR(INDEX(표1_3[책이름], SMALL(IF(표1_3[5차성장]="O", ROW(표1_3[책이름])-ROW(서책입력!$D$3)+1), ROW(A89))), "")</f>
        <v/>
      </c>
      <c r="B129" s="270" t="str">
        <f t="array" ref="B129">IFERROR(INDEX(표1_3[내 책 등급], SMALL(IF(표1_3[5차성장]="O", ROW(표1_3[내 책 등급])-ROW(서책입력!$E$3)+1), ROW(A89))), "")</f>
        <v/>
      </c>
      <c r="D129" s="310" t="str">
        <f t="array" ref="D129">IFERROR(INDEX(표1_3[조건], SMALL(IF(표1_3[5차성장]="O", ROW(표1_3[조건])-ROW(INDEX(표1_3[조건], 1, 1))+1), ROW(A89))) &amp; " " &amp; INDEX(표1_3[수치], SMALL(IF(표1_3[5차성장]="O", ROW(표1_3[조건])-ROW(INDEX(표1_3[조건], 1, 1))+1), ROW(A89))), "")</f>
        <v/>
      </c>
      <c r="E129" s="310"/>
      <c r="T129" s="101" t="str">
        <f t="array" ref="T129">IFERROR(INDEX(표1_3[☆], SMALL(IF(표1_3[5차성장]="O", ROW(표1_3[조건])-ROW(INDEX(표1_3[조건], 1, 1))+1), ROW(A89))), "")</f>
        <v/>
      </c>
    </row>
    <row r="130" spans="1:20" x14ac:dyDescent="0.3">
      <c r="A130" s="112" t="str">
        <f t="array" ref="A130">IFERROR(INDEX(표1_3[책이름], SMALL(IF(표1_3[5차성장]="O", ROW(표1_3[책이름])-ROW(서책입력!$D$3)+1), ROW(A90))), "")</f>
        <v/>
      </c>
      <c r="B130" s="270" t="str">
        <f t="array" ref="B130">IFERROR(INDEX(표1_3[내 책 등급], SMALL(IF(표1_3[5차성장]="O", ROW(표1_3[내 책 등급])-ROW(서책입력!$E$3)+1), ROW(A90))), "")</f>
        <v/>
      </c>
      <c r="D130" s="310" t="str">
        <f t="array" ref="D130">IFERROR(INDEX(표1_3[조건], SMALL(IF(표1_3[5차성장]="O", ROW(표1_3[조건])-ROW(INDEX(표1_3[조건], 1, 1))+1), ROW(A90))) &amp; " " &amp; INDEX(표1_3[수치], SMALL(IF(표1_3[5차성장]="O", ROW(표1_3[조건])-ROW(INDEX(표1_3[조건], 1, 1))+1), ROW(A90))), "")</f>
        <v/>
      </c>
      <c r="E130" s="310"/>
      <c r="T130" s="101" t="str">
        <f t="array" ref="T130">IFERROR(INDEX(표1_3[☆], SMALL(IF(표1_3[5차성장]="O", ROW(표1_3[조건])-ROW(INDEX(표1_3[조건], 1, 1))+1), ROW(A90))), "")</f>
        <v/>
      </c>
    </row>
    <row r="131" spans="1:20" x14ac:dyDescent="0.3">
      <c r="D131" s="279"/>
      <c r="E131" s="279"/>
    </row>
  </sheetData>
  <sheetProtection algorithmName="SHA-512" hashValue="X84Se2IPB7X/P3G2xvqx5kopnqr2OQK2aoKOdObzUtcym9nSxv3JxiJ2Dajg89nf7hcFm7bQg+DzX/f0G+QfLA==" saltValue="830T1cGlHUVH6Q9AA17XFg==" spinCount="100000" sheet="1" objects="1" scenarios="1" selectLockedCells="1"/>
  <mergeCells count="131">
    <mergeCell ref="D120:E120"/>
    <mergeCell ref="AH2:AH5"/>
    <mergeCell ref="D126:E126"/>
    <mergeCell ref="D127:E127"/>
    <mergeCell ref="D128:E128"/>
    <mergeCell ref="D129:E129"/>
    <mergeCell ref="D130:E130"/>
    <mergeCell ref="D121:E121"/>
    <mergeCell ref="D122:E122"/>
    <mergeCell ref="D123:E123"/>
    <mergeCell ref="D124:E124"/>
    <mergeCell ref="D125:E125"/>
    <mergeCell ref="D116:E116"/>
    <mergeCell ref="D117:E117"/>
    <mergeCell ref="D118:E118"/>
    <mergeCell ref="D119:E119"/>
    <mergeCell ref="D111:E111"/>
    <mergeCell ref="D112:E112"/>
    <mergeCell ref="D113:E113"/>
    <mergeCell ref="D114:E114"/>
    <mergeCell ref="D115:E115"/>
    <mergeCell ref="D106:E106"/>
    <mergeCell ref="D107:E107"/>
    <mergeCell ref="D108:E108"/>
    <mergeCell ref="D109:E109"/>
    <mergeCell ref="D110:E110"/>
    <mergeCell ref="D101:E101"/>
    <mergeCell ref="D102:E102"/>
    <mergeCell ref="D103:E103"/>
    <mergeCell ref="D104:E104"/>
    <mergeCell ref="D105:E105"/>
    <mergeCell ref="D96:E96"/>
    <mergeCell ref="D97:E97"/>
    <mergeCell ref="D98:E98"/>
    <mergeCell ref="D99:E99"/>
    <mergeCell ref="D100:E100"/>
    <mergeCell ref="D91:E91"/>
    <mergeCell ref="D92:E92"/>
    <mergeCell ref="D93:E93"/>
    <mergeCell ref="D94:E94"/>
    <mergeCell ref="D95:E95"/>
    <mergeCell ref="D86:E86"/>
    <mergeCell ref="D87:E87"/>
    <mergeCell ref="D88:E88"/>
    <mergeCell ref="D89:E89"/>
    <mergeCell ref="D90:E90"/>
    <mergeCell ref="D81:E81"/>
    <mergeCell ref="D82:E82"/>
    <mergeCell ref="D83:E83"/>
    <mergeCell ref="D84:E84"/>
    <mergeCell ref="D85:E85"/>
    <mergeCell ref="D76:E76"/>
    <mergeCell ref="D77:E77"/>
    <mergeCell ref="D78:E78"/>
    <mergeCell ref="D79:E79"/>
    <mergeCell ref="D80:E80"/>
    <mergeCell ref="D72:E72"/>
    <mergeCell ref="D73:E73"/>
    <mergeCell ref="D74:E74"/>
    <mergeCell ref="D75:E75"/>
    <mergeCell ref="D66:E66"/>
    <mergeCell ref="D67:E67"/>
    <mergeCell ref="D68:E68"/>
    <mergeCell ref="D69:E69"/>
    <mergeCell ref="D70:E70"/>
    <mergeCell ref="D62:E62"/>
    <mergeCell ref="D63:E63"/>
    <mergeCell ref="D64:E64"/>
    <mergeCell ref="D65:E65"/>
    <mergeCell ref="D57:E57"/>
    <mergeCell ref="D58:E58"/>
    <mergeCell ref="D59:E59"/>
    <mergeCell ref="D60:E60"/>
    <mergeCell ref="D71:E71"/>
    <mergeCell ref="D48:E48"/>
    <mergeCell ref="D49:E49"/>
    <mergeCell ref="D50:E50"/>
    <mergeCell ref="D41:E41"/>
    <mergeCell ref="D42:E42"/>
    <mergeCell ref="D43:E43"/>
    <mergeCell ref="D44:E44"/>
    <mergeCell ref="D45:E45"/>
    <mergeCell ref="D61:E61"/>
    <mergeCell ref="D56:E56"/>
    <mergeCell ref="D51:E51"/>
    <mergeCell ref="D52:E52"/>
    <mergeCell ref="D53:E53"/>
    <mergeCell ref="D54:E54"/>
    <mergeCell ref="D55:E55"/>
    <mergeCell ref="D24:E24"/>
    <mergeCell ref="D25:E25"/>
    <mergeCell ref="D40:E40"/>
    <mergeCell ref="D8:E8"/>
    <mergeCell ref="D7:E7"/>
    <mergeCell ref="D9:E9"/>
    <mergeCell ref="D10:E10"/>
    <mergeCell ref="D46:E46"/>
    <mergeCell ref="D47:E47"/>
    <mergeCell ref="D17:E17"/>
    <mergeCell ref="D18:E18"/>
    <mergeCell ref="D19:E19"/>
    <mergeCell ref="D20:E20"/>
    <mergeCell ref="D13:E13"/>
    <mergeCell ref="D21:E21"/>
    <mergeCell ref="D14:E14"/>
    <mergeCell ref="D22:E22"/>
    <mergeCell ref="D23:E23"/>
    <mergeCell ref="B1:E1"/>
    <mergeCell ref="L3:M3"/>
    <mergeCell ref="F3:G3"/>
    <mergeCell ref="J3:K3"/>
    <mergeCell ref="H3:I3"/>
    <mergeCell ref="Z21:AA21"/>
    <mergeCell ref="AB21:AC21"/>
    <mergeCell ref="U11:V11"/>
    <mergeCell ref="Z11:AA11"/>
    <mergeCell ref="AB11:AC11"/>
    <mergeCell ref="U16:V16"/>
    <mergeCell ref="Z16:AA16"/>
    <mergeCell ref="AB16:AC16"/>
    <mergeCell ref="P3:Q3"/>
    <mergeCell ref="R3:S3"/>
    <mergeCell ref="U2:AC3"/>
    <mergeCell ref="U5:V6"/>
    <mergeCell ref="X5:Y6"/>
    <mergeCell ref="AA5:AB6"/>
    <mergeCell ref="U21:V21"/>
    <mergeCell ref="D11:E11"/>
    <mergeCell ref="D12:E12"/>
    <mergeCell ref="D15:E15"/>
    <mergeCell ref="D16:E16"/>
  </mergeCells>
  <phoneticPr fontId="3" type="noConversion"/>
  <pageMargins left="0.75" right="0.75" top="1" bottom="1" header="0.5" footer="0.5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" r:id="rId4" name="Button 174">
              <controlPr defaultSize="0" print="0" autoFill="0" autoPict="0" macro="[0]!ResetAndBackup">
                <anchor moveWithCells="1" sizeWithCells="1">
                  <from>
                    <xdr:col>0</xdr:col>
                    <xdr:colOff>0</xdr:colOff>
                    <xdr:row>5</xdr:row>
                    <xdr:rowOff>19050</xdr:rowOff>
                  </from>
                  <to>
                    <xdr:col>1</xdr:col>
                    <xdr:colOff>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5" name="Button 175">
              <controlPr defaultSize="0" print="0" autoFill="0" autoPict="0" macro="[0]!UpdateAll_And_CreateSheet">
                <anchor moveWithCells="1" sizeWithCells="1">
                  <from>
                    <xdr:col>30</xdr:col>
                    <xdr:colOff>95250</xdr:colOff>
                    <xdr:row>5</xdr:row>
                    <xdr:rowOff>66675</xdr:rowOff>
                  </from>
                  <to>
                    <xdr:col>31</xdr:col>
                    <xdr:colOff>314325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6" name="Button 177">
              <controlPr defaultSize="0" print="0" autoFill="0" autoPict="0" macro="[0]!UpdateWithCondition_And_CreateSheet">
                <anchor moveWithCells="1" sizeWithCells="1">
                  <from>
                    <xdr:col>30</xdr:col>
                    <xdr:colOff>95250</xdr:colOff>
                    <xdr:row>9</xdr:row>
                    <xdr:rowOff>152400</xdr:rowOff>
                  </from>
                  <to>
                    <xdr:col>31</xdr:col>
                    <xdr:colOff>314325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7" name="Button 178">
              <controlPr defaultSize="0" print="0" autoFill="0" autoPict="0" macro="[0]!RestoreGColumnData_AndDeleteSheet">
                <anchor moveWithCells="1" sizeWithCells="1">
                  <from>
                    <xdr:col>30</xdr:col>
                    <xdr:colOff>95250</xdr:colOff>
                    <xdr:row>0</xdr:row>
                    <xdr:rowOff>209550</xdr:rowOff>
                  </from>
                  <to>
                    <xdr:col>31</xdr:col>
                    <xdr:colOff>314325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8" name="Button 179">
              <controlPr defaultSize="0" print="0" autoFill="0" autoPict="0" macro="[0]!UpdateExceptZero_And_CreateSheet">
                <anchor moveWithCells="1" sizeWithCells="1">
                  <from>
                    <xdr:col>30</xdr:col>
                    <xdr:colOff>95250</xdr:colOff>
                    <xdr:row>14</xdr:row>
                    <xdr:rowOff>38100</xdr:rowOff>
                  </from>
                  <to>
                    <xdr:col>31</xdr:col>
                    <xdr:colOff>314325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DC00F9-2C5C-4137-8726-39A823D91AE6}">
          <x14:formula1>
            <xm:f>연맹원관리1!$A$2:$A$182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9A171-B230-42F4-AD3C-2B5672E1E038}">
  <sheetPr codeName="Sheet4">
    <tabColor rgb="FFFFFF00"/>
  </sheetPr>
  <dimension ref="A1:CE143"/>
  <sheetViews>
    <sheetView tabSelected="1" zoomScale="75" zoomScaleNormal="75" workbookViewId="0">
      <pane ySplit="8" topLeftCell="A9" activePane="bottomLeft" state="frozen"/>
      <selection pane="bottomLeft" activeCell="F13" sqref="F13"/>
    </sheetView>
  </sheetViews>
  <sheetFormatPr defaultRowHeight="16.5" x14ac:dyDescent="0.3"/>
  <cols>
    <col min="1" max="1" width="12.75" style="82" customWidth="1"/>
    <col min="2" max="3" width="9" style="82" customWidth="1"/>
    <col min="4" max="5" width="9" style="223" customWidth="1"/>
    <col min="6" max="6" width="12.75" style="82" customWidth="1"/>
    <col min="7" max="7" width="10.375" style="82" customWidth="1"/>
    <col min="8" max="10" width="9" style="82" customWidth="1"/>
    <col min="11" max="11" width="9" style="82"/>
    <col min="12" max="12" width="9.25" style="82" customWidth="1"/>
    <col min="13" max="13" width="10.875" style="82" customWidth="1"/>
    <col min="14" max="16" width="9" style="82"/>
    <col min="17" max="17" width="10.25" style="82" customWidth="1"/>
    <col min="18" max="21" width="9" style="82"/>
    <col min="22" max="83" width="0" style="82" hidden="1" customWidth="1"/>
    <col min="84" max="16384" width="9" style="82"/>
  </cols>
  <sheetData>
    <row r="1" spans="1:83" x14ac:dyDescent="0.3">
      <c r="D1" s="82"/>
      <c r="E1" s="82"/>
      <c r="G1" s="4"/>
      <c r="H1" s="4"/>
    </row>
    <row r="2" spans="1:83" x14ac:dyDescent="0.3">
      <c r="D2" s="82"/>
      <c r="E2" s="82"/>
      <c r="G2" s="4"/>
      <c r="H2" s="4"/>
    </row>
    <row r="3" spans="1:83" x14ac:dyDescent="0.3">
      <c r="D3" s="82"/>
      <c r="E3" s="82"/>
      <c r="N3" s="82" t="s">
        <v>940</v>
      </c>
      <c r="O3" s="82" t="s">
        <v>939</v>
      </c>
      <c r="P3" s="82" t="s">
        <v>935</v>
      </c>
      <c r="Q3" s="82" t="s">
        <v>942</v>
      </c>
      <c r="R3" s="82" t="s">
        <v>946</v>
      </c>
      <c r="S3" s="82" t="s">
        <v>951</v>
      </c>
      <c r="T3" s="82" t="s">
        <v>954</v>
      </c>
      <c r="W3" s="92" t="s">
        <v>727</v>
      </c>
      <c r="BL3" s="128" t="s">
        <v>676</v>
      </c>
    </row>
    <row r="4" spans="1:83" x14ac:dyDescent="0.3">
      <c r="A4" s="97"/>
      <c r="D4" s="82"/>
      <c r="E4" s="82"/>
      <c r="N4" s="82" t="s">
        <v>941</v>
      </c>
      <c r="O4" s="82" t="s">
        <v>939</v>
      </c>
      <c r="P4" s="82" t="s">
        <v>936</v>
      </c>
      <c r="Q4" s="82" t="s">
        <v>943</v>
      </c>
      <c r="R4" s="82" t="s">
        <v>947</v>
      </c>
      <c r="S4" s="82" t="s">
        <v>950</v>
      </c>
      <c r="T4" s="82" t="s">
        <v>955</v>
      </c>
      <c r="W4" s="88" t="s">
        <v>562</v>
      </c>
      <c r="X4" s="89">
        <v>1</v>
      </c>
      <c r="Y4" s="89">
        <v>2</v>
      </c>
      <c r="Z4" s="89">
        <v>3</v>
      </c>
      <c r="AA4" s="89">
        <v>4</v>
      </c>
      <c r="AB4" s="89">
        <v>5</v>
      </c>
      <c r="AC4" s="89">
        <v>6</v>
      </c>
      <c r="AD4" s="89">
        <v>7</v>
      </c>
      <c r="AE4" s="89">
        <v>8</v>
      </c>
      <c r="AF4" s="89">
        <v>9</v>
      </c>
      <c r="AG4" s="89">
        <v>10</v>
      </c>
      <c r="AH4" s="89">
        <v>11</v>
      </c>
      <c r="AI4" s="89">
        <v>12</v>
      </c>
      <c r="AJ4" s="89">
        <v>13</v>
      </c>
      <c r="AK4" s="89">
        <v>14</v>
      </c>
      <c r="AL4" s="89">
        <v>15</v>
      </c>
      <c r="AM4" s="89">
        <v>16</v>
      </c>
      <c r="AN4" s="89">
        <v>17</v>
      </c>
      <c r="AO4" s="89">
        <v>18</v>
      </c>
      <c r="AP4" s="89">
        <v>19</v>
      </c>
      <c r="AQ4" s="89">
        <v>20</v>
      </c>
      <c r="AR4" s="89">
        <v>21</v>
      </c>
      <c r="AS4" s="89">
        <v>22</v>
      </c>
      <c r="AT4" s="89">
        <v>23</v>
      </c>
      <c r="AU4" s="89">
        <v>24</v>
      </c>
      <c r="AV4" s="89">
        <v>25</v>
      </c>
      <c r="AW4" s="89">
        <v>26</v>
      </c>
      <c r="AX4" s="89">
        <v>27</v>
      </c>
      <c r="AY4" s="89">
        <v>28</v>
      </c>
      <c r="AZ4" s="89">
        <v>29</v>
      </c>
      <c r="BA4" s="89">
        <v>30</v>
      </c>
      <c r="BB4" s="89">
        <v>31</v>
      </c>
      <c r="BC4" s="89">
        <v>32</v>
      </c>
      <c r="BD4" s="89">
        <v>33</v>
      </c>
      <c r="BE4" s="89">
        <v>34</v>
      </c>
      <c r="BF4" s="89">
        <v>35</v>
      </c>
      <c r="BG4" s="89">
        <v>36</v>
      </c>
      <c r="BH4" s="89">
        <v>37</v>
      </c>
      <c r="BI4" s="89">
        <v>38</v>
      </c>
      <c r="BJ4" s="89">
        <v>39</v>
      </c>
      <c r="BK4" s="89">
        <v>40</v>
      </c>
      <c r="BL4" s="89">
        <v>41</v>
      </c>
      <c r="BM4" s="89">
        <v>42</v>
      </c>
      <c r="BN4" s="89">
        <v>43</v>
      </c>
      <c r="BO4" s="89">
        <v>44</v>
      </c>
      <c r="BP4" s="89">
        <v>45</v>
      </c>
      <c r="BQ4" s="89">
        <v>46</v>
      </c>
      <c r="BR4" s="89">
        <v>47</v>
      </c>
      <c r="BS4" s="89">
        <v>48</v>
      </c>
      <c r="BT4" s="89">
        <v>49</v>
      </c>
      <c r="BU4" s="89">
        <v>50</v>
      </c>
      <c r="BV4" s="89">
        <v>51</v>
      </c>
      <c r="BW4" s="89">
        <v>52</v>
      </c>
      <c r="BX4" s="89">
        <v>53</v>
      </c>
      <c r="BY4" s="89">
        <v>54</v>
      </c>
      <c r="BZ4" s="89">
        <v>55</v>
      </c>
      <c r="CA4" s="89">
        <v>56</v>
      </c>
      <c r="CB4" s="89">
        <v>57</v>
      </c>
      <c r="CC4" s="89">
        <v>58</v>
      </c>
      <c r="CD4" s="89">
        <v>59</v>
      </c>
      <c r="CE4" s="89">
        <v>60</v>
      </c>
    </row>
    <row r="5" spans="1:83" x14ac:dyDescent="0.3">
      <c r="A5" s="4" t="s">
        <v>705</v>
      </c>
      <c r="B5" s="4"/>
      <c r="C5" s="4"/>
      <c r="D5" s="82"/>
      <c r="E5" s="82"/>
      <c r="N5" s="82">
        <v>15</v>
      </c>
      <c r="O5" s="82">
        <v>15</v>
      </c>
      <c r="P5" s="82">
        <v>15</v>
      </c>
      <c r="Q5" s="82">
        <v>15</v>
      </c>
      <c r="R5" s="82">
        <v>15</v>
      </c>
      <c r="S5" s="82">
        <v>15</v>
      </c>
      <c r="T5" s="82">
        <v>15</v>
      </c>
      <c r="W5" s="166" t="s">
        <v>565</v>
      </c>
      <c r="X5" s="83">
        <v>10</v>
      </c>
      <c r="Y5" s="83">
        <v>20</v>
      </c>
      <c r="Z5" s="83">
        <v>50</v>
      </c>
      <c r="AA5" s="83">
        <v>90</v>
      </c>
      <c r="AB5" s="83">
        <v>140</v>
      </c>
      <c r="AC5" s="83">
        <v>200</v>
      </c>
      <c r="AD5" s="83">
        <v>270</v>
      </c>
      <c r="AE5" s="83">
        <v>350</v>
      </c>
      <c r="AF5" s="83">
        <v>440</v>
      </c>
      <c r="AG5" s="83">
        <v>540</v>
      </c>
      <c r="AH5" s="83">
        <v>640</v>
      </c>
      <c r="AI5" s="83">
        <v>740</v>
      </c>
      <c r="AJ5" s="83">
        <v>840</v>
      </c>
      <c r="AK5" s="83">
        <v>940</v>
      </c>
      <c r="AL5" s="83">
        <v>1040</v>
      </c>
      <c r="AM5" s="83">
        <v>1140</v>
      </c>
      <c r="AN5" s="83">
        <v>1240</v>
      </c>
      <c r="AO5" s="83">
        <v>1340</v>
      </c>
      <c r="AP5" s="83">
        <v>1440</v>
      </c>
      <c r="AQ5" s="83">
        <v>1540</v>
      </c>
      <c r="AR5" s="83">
        <v>1640</v>
      </c>
      <c r="AS5" s="83">
        <v>1740</v>
      </c>
      <c r="AT5" s="83">
        <v>1840</v>
      </c>
      <c r="AU5" s="83">
        <v>1940</v>
      </c>
      <c r="AV5" s="83">
        <v>2040</v>
      </c>
      <c r="AW5" s="83">
        <v>2140</v>
      </c>
      <c r="AX5" s="83">
        <v>2240</v>
      </c>
      <c r="AY5" s="83">
        <v>2340</v>
      </c>
      <c r="AZ5" s="83">
        <v>2440</v>
      </c>
      <c r="BA5" s="83">
        <v>2540</v>
      </c>
      <c r="BB5" s="83">
        <v>2640</v>
      </c>
      <c r="BC5" s="83">
        <v>2740</v>
      </c>
      <c r="BD5" s="83">
        <v>2840</v>
      </c>
      <c r="BE5" s="83">
        <v>2940</v>
      </c>
      <c r="BF5" s="83">
        <v>3040</v>
      </c>
      <c r="BG5" s="83">
        <v>3140</v>
      </c>
      <c r="BH5" s="83">
        <v>3240</v>
      </c>
      <c r="BI5" s="83">
        <v>3340</v>
      </c>
      <c r="BJ5" s="83">
        <v>3440</v>
      </c>
      <c r="BK5" s="83">
        <v>3540</v>
      </c>
      <c r="BL5" s="83">
        <v>3690</v>
      </c>
      <c r="BM5" s="83">
        <f t="shared" ref="BM5:CE5" si="0">BL5+$BL$3</f>
        <v>3840</v>
      </c>
      <c r="BN5" s="83">
        <f t="shared" si="0"/>
        <v>3990</v>
      </c>
      <c r="BO5" s="83">
        <f t="shared" si="0"/>
        <v>4140</v>
      </c>
      <c r="BP5" s="83">
        <f t="shared" si="0"/>
        <v>4290</v>
      </c>
      <c r="BQ5" s="83">
        <f t="shared" si="0"/>
        <v>4440</v>
      </c>
      <c r="BR5" s="83">
        <f t="shared" si="0"/>
        <v>4590</v>
      </c>
      <c r="BS5" s="83">
        <f t="shared" si="0"/>
        <v>4740</v>
      </c>
      <c r="BT5" s="83">
        <f t="shared" si="0"/>
        <v>4890</v>
      </c>
      <c r="BU5" s="83">
        <f t="shared" si="0"/>
        <v>5040</v>
      </c>
      <c r="BV5" s="83">
        <f t="shared" si="0"/>
        <v>5190</v>
      </c>
      <c r="BW5" s="83">
        <f t="shared" si="0"/>
        <v>5340</v>
      </c>
      <c r="BX5" s="83">
        <f t="shared" si="0"/>
        <v>5490</v>
      </c>
      <c r="BY5" s="83">
        <f t="shared" si="0"/>
        <v>5640</v>
      </c>
      <c r="BZ5" s="83">
        <f t="shared" si="0"/>
        <v>5790</v>
      </c>
      <c r="CA5" s="83">
        <f t="shared" si="0"/>
        <v>5940</v>
      </c>
      <c r="CB5" s="83">
        <f t="shared" si="0"/>
        <v>6090</v>
      </c>
      <c r="CC5" s="83">
        <f t="shared" si="0"/>
        <v>6240</v>
      </c>
      <c r="CD5" s="83">
        <f t="shared" si="0"/>
        <v>6390</v>
      </c>
      <c r="CE5" s="83">
        <f t="shared" si="0"/>
        <v>6540</v>
      </c>
    </row>
    <row r="6" spans="1:83" x14ac:dyDescent="0.3">
      <c r="A6" s="4" t="s">
        <v>706</v>
      </c>
      <c r="B6" s="4"/>
      <c r="C6" s="4"/>
      <c r="D6" s="228" t="s">
        <v>769</v>
      </c>
      <c r="E6" s="82"/>
      <c r="N6" s="82" t="s">
        <v>940</v>
      </c>
      <c r="O6" s="82" t="s">
        <v>939</v>
      </c>
      <c r="P6" s="82" t="s">
        <v>938</v>
      </c>
      <c r="Q6" s="82" t="s">
        <v>944</v>
      </c>
      <c r="R6" s="82" t="s">
        <v>948</v>
      </c>
      <c r="S6" s="82" t="s">
        <v>952</v>
      </c>
      <c r="T6" s="82" t="s">
        <v>957</v>
      </c>
      <c r="U6" s="128" t="s">
        <v>769</v>
      </c>
    </row>
    <row r="7" spans="1:83" x14ac:dyDescent="0.3">
      <c r="A7" s="4"/>
      <c r="B7" s="4"/>
      <c r="C7" s="4"/>
      <c r="D7" s="82"/>
      <c r="E7" s="82"/>
      <c r="N7" s="82" t="s">
        <v>941</v>
      </c>
      <c r="O7" s="82" t="s">
        <v>939</v>
      </c>
      <c r="P7" s="82" t="s">
        <v>937</v>
      </c>
      <c r="Q7" s="82" t="s">
        <v>945</v>
      </c>
      <c r="R7" s="82" t="s">
        <v>949</v>
      </c>
      <c r="S7" s="82" t="s">
        <v>953</v>
      </c>
      <c r="T7" s="82" t="s">
        <v>956</v>
      </c>
    </row>
    <row r="8" spans="1:83" x14ac:dyDescent="0.3">
      <c r="A8" s="176" t="s">
        <v>551</v>
      </c>
      <c r="B8" s="176" t="s">
        <v>552</v>
      </c>
      <c r="C8" s="176" t="s">
        <v>553</v>
      </c>
      <c r="D8" s="224" t="s">
        <v>632</v>
      </c>
      <c r="E8" s="224" t="s">
        <v>633</v>
      </c>
      <c r="F8" s="177" t="s">
        <v>18</v>
      </c>
      <c r="G8" s="176" t="s">
        <v>14</v>
      </c>
      <c r="H8" s="176" t="s">
        <v>21</v>
      </c>
      <c r="I8" s="176" t="s">
        <v>90</v>
      </c>
      <c r="J8" s="176" t="s">
        <v>30</v>
      </c>
      <c r="K8" s="176" t="s">
        <v>147</v>
      </c>
      <c r="L8" s="176" t="s">
        <v>148</v>
      </c>
      <c r="M8" s="176" t="s">
        <v>149</v>
      </c>
      <c r="N8" s="176" t="s">
        <v>150</v>
      </c>
      <c r="O8" s="176" t="s">
        <v>550</v>
      </c>
      <c r="P8" s="176" t="s">
        <v>151</v>
      </c>
      <c r="Q8" s="176" t="s">
        <v>152</v>
      </c>
      <c r="R8" s="176" t="s">
        <v>153</v>
      </c>
      <c r="S8" s="176" t="s">
        <v>154</v>
      </c>
      <c r="T8" s="176" t="s">
        <v>155</v>
      </c>
    </row>
    <row r="9" spans="1:83" x14ac:dyDescent="0.3">
      <c r="A9" s="320" t="s">
        <v>579</v>
      </c>
      <c r="B9" s="320" t="s">
        <v>555</v>
      </c>
      <c r="C9" s="320" t="s">
        <v>640</v>
      </c>
      <c r="D9" s="321">
        <f t="array" ref="D9">IF(ISERROR(MATCH(1, (표6[사용자] = '성장 시뮬레이터'!$B$1) * (표6[명장] = A9), 0)), "", INDEX(표6[무력단], MATCH(1, (표6[사용자] = '성장 시뮬레이터'!$B$1) * (표6[명장] = A9), 0)))</f>
        <v>0</v>
      </c>
      <c r="E9" s="321">
        <f t="array" ref="E9">IFERROR(INDEX(표6[지력단], MATCH(1, (표6[사용자] = '성장 시뮬레이터'!$B$1) * (표6[명장] = A9), 0)),"")</f>
        <v>1</v>
      </c>
      <c r="F9" s="322">
        <f>G9+H9</f>
        <v>164</v>
      </c>
      <c r="G9" s="323">
        <v>53</v>
      </c>
      <c r="H9" s="323">
        <v>111</v>
      </c>
      <c r="I9" s="323">
        <v>104</v>
      </c>
      <c r="J9" s="323">
        <v>105</v>
      </c>
      <c r="K9" s="323">
        <v>30</v>
      </c>
      <c r="L9" s="323">
        <v>15</v>
      </c>
      <c r="M9" s="323">
        <v>21</v>
      </c>
      <c r="N9" s="323">
        <v>6</v>
      </c>
      <c r="O9" s="323">
        <v>14</v>
      </c>
      <c r="P9" s="323">
        <v>13</v>
      </c>
      <c r="Q9" s="323">
        <v>0</v>
      </c>
      <c r="R9" s="323">
        <v>6</v>
      </c>
      <c r="S9" s="323">
        <v>4</v>
      </c>
      <c r="T9" s="323">
        <v>0</v>
      </c>
    </row>
    <row r="10" spans="1:83" x14ac:dyDescent="0.3">
      <c r="A10" s="320" t="s">
        <v>599</v>
      </c>
      <c r="B10" s="320" t="s">
        <v>555</v>
      </c>
      <c r="C10" s="320" t="s">
        <v>238</v>
      </c>
      <c r="D10" s="321">
        <f t="array" ref="D10">IF(ISERROR(MATCH(1, (표6[사용자] = '성장 시뮬레이터'!$B$1) * (표6[명장] = A10), 0)), "", INDEX(표6[무력단], MATCH(1, (표6[사용자] = '성장 시뮬레이터'!$B$1) * (표6[명장] = A10), 0)))</f>
        <v>0</v>
      </c>
      <c r="E10" s="321">
        <f t="array" ref="E10">IFERROR(INDEX(표6[지력단], MATCH(1, (표6[사용자] = '성장 시뮬레이터'!$B$1) * (표6[명장] = A10), 0)),"")</f>
        <v>0</v>
      </c>
      <c r="F10" s="322">
        <f>G10+H10</f>
        <v>202</v>
      </c>
      <c r="G10" s="323">
        <v>114</v>
      </c>
      <c r="H10" s="323">
        <v>88</v>
      </c>
      <c r="I10" s="323">
        <v>113</v>
      </c>
      <c r="J10" s="323">
        <v>128</v>
      </c>
      <c r="K10" s="323">
        <v>31</v>
      </c>
      <c r="L10" s="323">
        <v>46</v>
      </c>
      <c r="M10" s="323">
        <v>38</v>
      </c>
      <c r="N10" s="323">
        <v>9</v>
      </c>
      <c r="O10" s="323">
        <v>8</v>
      </c>
      <c r="P10" s="323">
        <v>5</v>
      </c>
      <c r="Q10" s="323">
        <v>12</v>
      </c>
      <c r="R10" s="323">
        <v>12</v>
      </c>
      <c r="S10" s="323">
        <v>13</v>
      </c>
      <c r="T10" s="323">
        <v>11</v>
      </c>
    </row>
    <row r="11" spans="1:83" x14ac:dyDescent="0.3">
      <c r="A11" s="320" t="s">
        <v>587</v>
      </c>
      <c r="B11" s="320" t="s">
        <v>555</v>
      </c>
      <c r="C11" s="320" t="s">
        <v>547</v>
      </c>
      <c r="D11" s="321">
        <f t="array" ref="D11">IF(ISERROR(MATCH(1, (표6[사용자] = '성장 시뮬레이터'!$B$1) * (표6[명장] = A11), 0)), "", INDEX(표6[무력단], MATCH(1, (표6[사용자] = '성장 시뮬레이터'!$B$1) * (표6[명장] = A11), 0)))</f>
        <v>0</v>
      </c>
      <c r="E11" s="321">
        <f t="array" ref="E11">IFERROR(INDEX(표6[지력단], MATCH(1, (표6[사용자] = '성장 시뮬레이터'!$B$1) * (표6[명장] = A11), 0)),"")</f>
        <v>0</v>
      </c>
      <c r="F11" s="322">
        <f>G11+H11</f>
        <v>225</v>
      </c>
      <c r="G11" s="323">
        <v>112</v>
      </c>
      <c r="H11" s="323">
        <v>113</v>
      </c>
      <c r="I11" s="323">
        <v>126</v>
      </c>
      <c r="J11" s="323">
        <v>138</v>
      </c>
      <c r="K11" s="323">
        <v>48</v>
      </c>
      <c r="L11" s="323">
        <v>52</v>
      </c>
      <c r="M11" s="323">
        <v>45</v>
      </c>
      <c r="N11" s="323">
        <v>13</v>
      </c>
      <c r="O11" s="323">
        <v>16</v>
      </c>
      <c r="P11" s="323">
        <v>15</v>
      </c>
      <c r="Q11" s="323">
        <v>12</v>
      </c>
      <c r="R11" s="323">
        <v>14</v>
      </c>
      <c r="S11" s="323">
        <v>13</v>
      </c>
      <c r="T11" s="323">
        <v>11</v>
      </c>
    </row>
    <row r="12" spans="1:83" x14ac:dyDescent="0.3">
      <c r="A12" s="320" t="s">
        <v>609</v>
      </c>
      <c r="B12" s="320" t="s">
        <v>555</v>
      </c>
      <c r="C12" s="320" t="s">
        <v>641</v>
      </c>
      <c r="D12" s="321">
        <f t="array" ref="D12">IF(ISERROR(MATCH(1, (표6[사용자] = '성장 시뮬레이터'!$B$1) * (표6[명장] = A12), 0)), "", INDEX(표6[무력단], MATCH(1, (표6[사용자] = '성장 시뮬레이터'!$B$1) * (표6[명장] = A12), 0)))</f>
        <v>0</v>
      </c>
      <c r="E12" s="321">
        <f t="array" ref="E12">IFERROR(INDEX(표6[지력단], MATCH(1, (표6[사용자] = '성장 시뮬레이터'!$B$1) * (표6[명장] = A12), 0)),"")</f>
        <v>0</v>
      </c>
      <c r="F12" s="322">
        <f>G12+H12</f>
        <v>191</v>
      </c>
      <c r="G12" s="323">
        <v>114</v>
      </c>
      <c r="H12" s="323">
        <v>77</v>
      </c>
      <c r="I12" s="323">
        <v>115</v>
      </c>
      <c r="J12" s="323">
        <v>129</v>
      </c>
      <c r="K12" s="323">
        <v>28</v>
      </c>
      <c r="L12" s="323">
        <v>46</v>
      </c>
      <c r="M12" s="323">
        <v>38</v>
      </c>
      <c r="N12" s="323">
        <v>9</v>
      </c>
      <c r="O12" s="323">
        <v>7</v>
      </c>
      <c r="P12" s="323">
        <v>5</v>
      </c>
      <c r="Q12" s="323">
        <v>12</v>
      </c>
      <c r="R12" s="323">
        <v>11</v>
      </c>
      <c r="S12" s="323">
        <v>12</v>
      </c>
      <c r="T12" s="323">
        <v>11</v>
      </c>
      <c r="U12" s="167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</row>
    <row r="13" spans="1:83" x14ac:dyDescent="0.3">
      <c r="A13" s="320" t="s">
        <v>614</v>
      </c>
      <c r="B13" s="320" t="s">
        <v>571</v>
      </c>
      <c r="C13" s="320" t="s">
        <v>243</v>
      </c>
      <c r="D13" s="321">
        <f t="array" ref="D13">IF(ISERROR(MATCH(1, (표6[사용자] = '성장 시뮬레이터'!$B$1) * (표6[명장] = A13), 0)), "", INDEX(표6[무력단], MATCH(1, (표6[사용자] = '성장 시뮬레이터'!$B$1) * (표6[명장] = A13), 0)))</f>
        <v>0</v>
      </c>
      <c r="E13" s="321">
        <f t="array" ref="E13">IFERROR(INDEX(표6[지력단], MATCH(1, (표6[사용자] = '성장 시뮬레이터'!$B$1) * (표6[명장] = A13), 0)),"")</f>
        <v>0</v>
      </c>
      <c r="F13" s="322">
        <f>G13+H13</f>
        <v>145</v>
      </c>
      <c r="G13" s="323">
        <v>46</v>
      </c>
      <c r="H13" s="323">
        <v>99</v>
      </c>
      <c r="I13" s="323">
        <v>106</v>
      </c>
      <c r="J13" s="323">
        <v>110</v>
      </c>
      <c r="K13" s="323">
        <v>23</v>
      </c>
      <c r="L13" s="323">
        <v>17</v>
      </c>
      <c r="M13" s="323">
        <v>16</v>
      </c>
      <c r="N13" s="323">
        <v>6</v>
      </c>
      <c r="O13" s="323">
        <v>12</v>
      </c>
      <c r="P13" s="323">
        <v>9</v>
      </c>
      <c r="Q13" s="323">
        <v>0</v>
      </c>
      <c r="R13" s="323">
        <v>6</v>
      </c>
      <c r="S13" s="323">
        <v>4</v>
      </c>
      <c r="T13" s="323">
        <v>4</v>
      </c>
      <c r="U13" s="167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</row>
    <row r="14" spans="1:83" x14ac:dyDescent="0.3">
      <c r="A14" s="320" t="s">
        <v>584</v>
      </c>
      <c r="B14" s="320" t="s">
        <v>555</v>
      </c>
      <c r="C14" s="320" t="s">
        <v>640</v>
      </c>
      <c r="D14" s="321">
        <f t="array" ref="D14">IF(ISERROR(MATCH(1, (표6[사용자] = '성장 시뮬레이터'!$B$1) * (표6[명장] = A14), 0)), "", INDEX(표6[무력단], MATCH(1, (표6[사용자] = '성장 시뮬레이터'!$B$1) * (표6[명장] = A14), 0)))</f>
        <v>0</v>
      </c>
      <c r="E14" s="321">
        <f t="array" ref="E14">IFERROR(INDEX(표6[지력단], MATCH(1, (표6[사용자] = '성장 시뮬레이터'!$B$1) * (표6[명장] = A14), 0)),"")</f>
        <v>0</v>
      </c>
      <c r="F14" s="322">
        <f>G14+H14</f>
        <v>185</v>
      </c>
      <c r="G14" s="323">
        <v>110</v>
      </c>
      <c r="H14" s="323">
        <v>75</v>
      </c>
      <c r="I14" s="323">
        <v>117</v>
      </c>
      <c r="J14" s="323">
        <v>128</v>
      </c>
      <c r="K14" s="323">
        <v>28</v>
      </c>
      <c r="L14" s="323">
        <v>45</v>
      </c>
      <c r="M14" s="323">
        <v>37</v>
      </c>
      <c r="N14" s="323">
        <v>9</v>
      </c>
      <c r="O14" s="323">
        <v>7</v>
      </c>
      <c r="P14" s="323">
        <v>5</v>
      </c>
      <c r="Q14" s="323">
        <v>11</v>
      </c>
      <c r="R14" s="323">
        <v>11</v>
      </c>
      <c r="S14" s="323">
        <v>12</v>
      </c>
      <c r="T14" s="323">
        <v>11</v>
      </c>
      <c r="U14" s="167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</row>
    <row r="15" spans="1:83" x14ac:dyDescent="0.3">
      <c r="A15" s="320" t="s">
        <v>590</v>
      </c>
      <c r="B15" s="320" t="s">
        <v>555</v>
      </c>
      <c r="C15" s="320" t="s">
        <v>243</v>
      </c>
      <c r="D15" s="321">
        <f t="array" ref="D15">IF(ISERROR(MATCH(1, (표6[사용자] = '성장 시뮬레이터'!$B$1) * (표6[명장] = A15), 0)), "", INDEX(표6[무력단], MATCH(1, (표6[사용자] = '성장 시뮬레이터'!$B$1) * (표6[명장] = A15), 0)))</f>
        <v>0</v>
      </c>
      <c r="E15" s="321">
        <f t="array" ref="E15">IFERROR(INDEX(표6[지력단], MATCH(1, (표6[사용자] = '성장 시뮬레이터'!$B$1) * (표6[명장] = A15), 0)),"")</f>
        <v>1</v>
      </c>
      <c r="F15" s="322">
        <f>G15+H15</f>
        <v>151</v>
      </c>
      <c r="G15" s="323">
        <v>39</v>
      </c>
      <c r="H15" s="323">
        <v>112</v>
      </c>
      <c r="I15" s="323">
        <v>105</v>
      </c>
      <c r="J15" s="323">
        <v>102</v>
      </c>
      <c r="K15" s="323">
        <v>27</v>
      </c>
      <c r="L15" s="323">
        <v>14</v>
      </c>
      <c r="M15" s="323">
        <v>23</v>
      </c>
      <c r="N15" s="323">
        <v>6</v>
      </c>
      <c r="O15" s="323">
        <v>13</v>
      </c>
      <c r="P15" s="323">
        <v>13</v>
      </c>
      <c r="Q15" s="323">
        <v>0</v>
      </c>
      <c r="R15" s="323">
        <v>6</v>
      </c>
      <c r="S15" s="323">
        <v>4</v>
      </c>
      <c r="T15" s="323">
        <v>4</v>
      </c>
      <c r="U15" s="167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</row>
    <row r="16" spans="1:83" x14ac:dyDescent="0.3">
      <c r="A16" s="320" t="s">
        <v>554</v>
      </c>
      <c r="B16" s="320" t="s">
        <v>555</v>
      </c>
      <c r="C16" s="320" t="s">
        <v>556</v>
      </c>
      <c r="D16" s="321">
        <f t="array" ref="D16">IF(ISERROR(MATCH(1, (표6[사용자] = '성장 시뮬레이터'!$B$1) * (표6[명장] = A16), 0)), "", INDEX(표6[무력단], MATCH(1, (표6[사용자] = '성장 시뮬레이터'!$B$1) * (표6[명장] = A16), 0)))</f>
        <v>0</v>
      </c>
      <c r="E16" s="321">
        <f t="array" ref="E16">IFERROR(INDEX(표6[지력단], MATCH(1, (표6[사용자] = '성장 시뮬레이터'!$B$1) * (표6[명장] = A16), 0)),"")</f>
        <v>0</v>
      </c>
      <c r="F16" s="322">
        <f>G16+H16</f>
        <v>211</v>
      </c>
      <c r="G16" s="323">
        <v>117</v>
      </c>
      <c r="H16" s="320">
        <v>94</v>
      </c>
      <c r="I16" s="320">
        <v>115</v>
      </c>
      <c r="J16" s="320">
        <v>129</v>
      </c>
      <c r="K16" s="323">
        <v>34</v>
      </c>
      <c r="L16" s="323">
        <v>46</v>
      </c>
      <c r="M16" s="323">
        <v>41</v>
      </c>
      <c r="N16" s="323">
        <v>10</v>
      </c>
      <c r="O16" s="323">
        <v>11</v>
      </c>
      <c r="P16" s="323">
        <v>10</v>
      </c>
      <c r="Q16" s="323">
        <v>12</v>
      </c>
      <c r="R16" s="323">
        <v>14</v>
      </c>
      <c r="S16" s="323">
        <v>13</v>
      </c>
      <c r="T16" s="323">
        <v>11</v>
      </c>
      <c r="U16" s="167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</row>
    <row r="17" spans="1:55" x14ac:dyDescent="0.3">
      <c r="A17" s="320" t="s">
        <v>618</v>
      </c>
      <c r="B17" s="320" t="s">
        <v>555</v>
      </c>
      <c r="C17" s="320" t="s">
        <v>238</v>
      </c>
      <c r="D17" s="321">
        <f t="array" ref="D17">IF(ISERROR(MATCH(1, (표6[사용자] = '성장 시뮬레이터'!$B$1) * (표6[명장] = A17), 0)), "", INDEX(표6[무력단], MATCH(1, (표6[사용자] = '성장 시뮬레이터'!$B$1) * (표6[명장] = A17), 0)))</f>
        <v>0</v>
      </c>
      <c r="E17" s="321">
        <f t="array" ref="E17">IFERROR(INDEX(표6[지력단], MATCH(1, (표6[사용자] = '성장 시뮬레이터'!$B$1) * (표6[명장] = A17), 0)),"")</f>
        <v>0</v>
      </c>
      <c r="F17" s="322">
        <f>G17+H17</f>
        <v>190</v>
      </c>
      <c r="G17" s="323">
        <v>72</v>
      </c>
      <c r="H17" s="323">
        <v>118</v>
      </c>
      <c r="I17" s="323">
        <v>122</v>
      </c>
      <c r="J17" s="323">
        <v>119</v>
      </c>
      <c r="K17" s="323">
        <v>38</v>
      </c>
      <c r="L17" s="323">
        <v>30</v>
      </c>
      <c r="M17" s="323">
        <v>34</v>
      </c>
      <c r="N17" s="323">
        <v>6</v>
      </c>
      <c r="O17" s="323">
        <v>13</v>
      </c>
      <c r="P17" s="323">
        <v>14</v>
      </c>
      <c r="Q17" s="323">
        <v>0</v>
      </c>
      <c r="R17" s="323">
        <v>10</v>
      </c>
      <c r="S17" s="323">
        <v>4</v>
      </c>
      <c r="T17" s="323">
        <v>4</v>
      </c>
      <c r="U17" s="167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</row>
    <row r="18" spans="1:55" x14ac:dyDescent="0.3">
      <c r="A18" s="320" t="s">
        <v>625</v>
      </c>
      <c r="B18" s="320" t="s">
        <v>555</v>
      </c>
      <c r="C18" s="320" t="s">
        <v>238</v>
      </c>
      <c r="D18" s="321">
        <f t="array" ref="D18">IF(ISERROR(MATCH(1, (표6[사용자] = '성장 시뮬레이터'!$B$1) * (표6[명장] = A18), 0)), "", INDEX(표6[무력단], MATCH(1, (표6[사용자] = '성장 시뮬레이터'!$B$1) * (표6[명장] = A18), 0)))</f>
        <v>0</v>
      </c>
      <c r="E18" s="321">
        <f t="array" ref="E18">IFERROR(INDEX(표6[지력단], MATCH(1, (표6[사용자] = '성장 시뮬레이터'!$B$1) * (표6[명장] = A18), 0)),"")</f>
        <v>0</v>
      </c>
      <c r="F18" s="322">
        <f>G18+H18</f>
        <v>162</v>
      </c>
      <c r="G18" s="323">
        <v>101</v>
      </c>
      <c r="H18" s="323">
        <v>61</v>
      </c>
      <c r="I18" s="323">
        <v>93</v>
      </c>
      <c r="J18" s="323">
        <v>97</v>
      </c>
      <c r="K18" s="320">
        <v>10</v>
      </c>
      <c r="L18" s="323">
        <v>25</v>
      </c>
      <c r="M18" s="323">
        <v>14</v>
      </c>
      <c r="N18" s="323">
        <v>9</v>
      </c>
      <c r="O18" s="323">
        <v>4</v>
      </c>
      <c r="P18" s="323">
        <v>0</v>
      </c>
      <c r="Q18" s="323">
        <v>10</v>
      </c>
      <c r="R18" s="323">
        <v>6</v>
      </c>
      <c r="S18" s="323">
        <v>11</v>
      </c>
      <c r="T18" s="323">
        <v>6</v>
      </c>
      <c r="U18" s="167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</row>
    <row r="19" spans="1:55" x14ac:dyDescent="0.3">
      <c r="A19" s="320" t="s">
        <v>611</v>
      </c>
      <c r="B19" s="320" t="s">
        <v>571</v>
      </c>
      <c r="C19" s="320" t="s">
        <v>238</v>
      </c>
      <c r="D19" s="321">
        <f t="array" ref="D19">IF(ISERROR(MATCH(1, (표6[사용자] = '성장 시뮬레이터'!$B$1) * (표6[명장] = A19), 0)), "", INDEX(표6[무력단], MATCH(1, (표6[사용자] = '성장 시뮬레이터'!$B$1) * (표6[명장] = A19), 0)))</f>
        <v>0</v>
      </c>
      <c r="E19" s="321">
        <f t="array" ref="E19">IFERROR(INDEX(표6[지력단], MATCH(1, (표6[사용자] = '성장 시뮬레이터'!$B$1) * (표6[명장] = A19), 0)),"")</f>
        <v>0</v>
      </c>
      <c r="F19" s="322">
        <f>G19+H19</f>
        <v>168</v>
      </c>
      <c r="G19" s="323">
        <v>64</v>
      </c>
      <c r="H19" s="323">
        <v>104</v>
      </c>
      <c r="I19" s="323">
        <v>104</v>
      </c>
      <c r="J19" s="323">
        <v>105</v>
      </c>
      <c r="K19" s="323">
        <v>31</v>
      </c>
      <c r="L19" s="323">
        <v>20</v>
      </c>
      <c r="M19" s="323">
        <v>20</v>
      </c>
      <c r="N19" s="323">
        <v>6</v>
      </c>
      <c r="O19" s="323">
        <v>12</v>
      </c>
      <c r="P19" s="323">
        <v>12</v>
      </c>
      <c r="Q19" s="323">
        <v>0</v>
      </c>
      <c r="R19" s="323">
        <v>6</v>
      </c>
      <c r="S19" s="323">
        <v>4</v>
      </c>
      <c r="T19" s="323">
        <v>0</v>
      </c>
      <c r="U19" s="167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</row>
    <row r="20" spans="1:55" x14ac:dyDescent="0.3">
      <c r="A20" s="320" t="s">
        <v>591</v>
      </c>
      <c r="B20" s="320" t="s">
        <v>555</v>
      </c>
      <c r="C20" s="320" t="s">
        <v>640</v>
      </c>
      <c r="D20" s="321">
        <f t="array" ref="D20">IF(ISERROR(MATCH(1, (표6[사용자] = '성장 시뮬레이터'!$B$1) * (표6[명장] = A20), 0)), "", INDEX(표6[무력단], MATCH(1, (표6[사용자] = '성장 시뮬레이터'!$B$1) * (표6[명장] = A20), 0)))</f>
        <v>0</v>
      </c>
      <c r="E20" s="321">
        <f t="array" ref="E20">IFERROR(INDEX(표6[지력단], MATCH(1, (표6[사용자] = '성장 시뮬레이터'!$B$1) * (표6[명장] = A20), 0)),"")</f>
        <v>0</v>
      </c>
      <c r="F20" s="322">
        <f>G20+H20</f>
        <v>162</v>
      </c>
      <c r="G20" s="323">
        <v>94</v>
      </c>
      <c r="H20" s="323">
        <v>68</v>
      </c>
      <c r="I20" s="323">
        <v>100</v>
      </c>
      <c r="J20" s="323">
        <v>132</v>
      </c>
      <c r="K20" s="323">
        <v>11</v>
      </c>
      <c r="L20" s="323">
        <v>19</v>
      </c>
      <c r="M20" s="323">
        <v>22</v>
      </c>
      <c r="N20" s="323">
        <v>8</v>
      </c>
      <c r="O20" s="323">
        <v>0</v>
      </c>
      <c r="P20" s="323">
        <v>0</v>
      </c>
      <c r="Q20" s="323">
        <v>7</v>
      </c>
      <c r="R20" s="323">
        <v>8</v>
      </c>
      <c r="S20" s="323">
        <v>8</v>
      </c>
      <c r="T20" s="323">
        <v>7</v>
      </c>
      <c r="U20" s="167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</row>
    <row r="21" spans="1:55" x14ac:dyDescent="0.3">
      <c r="A21" s="320" t="s">
        <v>620</v>
      </c>
      <c r="B21" s="320" t="s">
        <v>555</v>
      </c>
      <c r="C21" s="320" t="s">
        <v>641</v>
      </c>
      <c r="D21" s="321">
        <f t="array" ref="D21">IF(ISERROR(MATCH(1, (표6[사용자] = '성장 시뮬레이터'!$B$1) * (표6[명장] = A21), 0)), "", INDEX(표6[무력단], MATCH(1, (표6[사용자] = '성장 시뮬레이터'!$B$1) * (표6[명장] = A21), 0)))</f>
        <v>0</v>
      </c>
      <c r="E21" s="321">
        <f t="array" ref="E21">IFERROR(INDEX(표6[지력단], MATCH(1, (표6[사용자] = '성장 시뮬레이터'!$B$1) * (표6[명장] = A21), 0)),"")</f>
        <v>0</v>
      </c>
      <c r="F21" s="322">
        <f>G21+H21</f>
        <v>134</v>
      </c>
      <c r="G21" s="323">
        <v>94</v>
      </c>
      <c r="H21" s="323">
        <v>40</v>
      </c>
      <c r="I21" s="323">
        <v>96</v>
      </c>
      <c r="J21" s="323">
        <v>108</v>
      </c>
      <c r="K21" s="323">
        <v>4</v>
      </c>
      <c r="L21" s="323">
        <v>12</v>
      </c>
      <c r="M21" s="323">
        <v>14</v>
      </c>
      <c r="N21" s="323">
        <v>8</v>
      </c>
      <c r="O21" s="323">
        <v>0</v>
      </c>
      <c r="P21" s="323">
        <v>0</v>
      </c>
      <c r="Q21" s="323">
        <v>7</v>
      </c>
      <c r="R21" s="323">
        <v>6</v>
      </c>
      <c r="S21" s="323">
        <v>7</v>
      </c>
      <c r="T21" s="323">
        <v>6</v>
      </c>
      <c r="U21" s="167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</row>
    <row r="22" spans="1:55" x14ac:dyDescent="0.3">
      <c r="A22" s="320" t="s">
        <v>573</v>
      </c>
      <c r="B22" s="320" t="s">
        <v>555</v>
      </c>
      <c r="C22" s="320" t="s">
        <v>243</v>
      </c>
      <c r="D22" s="321">
        <f t="array" ref="D22">IF(ISERROR(MATCH(1, (표6[사용자] = '성장 시뮬레이터'!$B$1) * (표6[명장] = A22), 0)), "", INDEX(표6[무력단], MATCH(1, (표6[사용자] = '성장 시뮬레이터'!$B$1) * (표6[명장] = A22), 0)))</f>
        <v>0</v>
      </c>
      <c r="E22" s="321">
        <f t="array" ref="E22">IFERROR(INDEX(표6[지력단], MATCH(1, (표6[사용자] = '성장 시뮬레이터'!$B$1) * (표6[명장] = A22), 0)),"")</f>
        <v>0</v>
      </c>
      <c r="F22" s="322">
        <f>G22+H22</f>
        <v>223</v>
      </c>
      <c r="G22" s="323">
        <v>111</v>
      </c>
      <c r="H22" s="323">
        <v>112</v>
      </c>
      <c r="I22" s="323">
        <v>125</v>
      </c>
      <c r="J22" s="323">
        <v>134</v>
      </c>
      <c r="K22" s="323">
        <v>48</v>
      </c>
      <c r="L22" s="323">
        <v>52</v>
      </c>
      <c r="M22" s="323">
        <v>45</v>
      </c>
      <c r="N22" s="323">
        <v>12</v>
      </c>
      <c r="O22" s="323">
        <v>16</v>
      </c>
      <c r="P22" s="323">
        <v>15</v>
      </c>
      <c r="Q22" s="323">
        <v>12</v>
      </c>
      <c r="R22" s="323">
        <v>14</v>
      </c>
      <c r="S22" s="323">
        <v>13</v>
      </c>
      <c r="T22" s="323">
        <v>12</v>
      </c>
      <c r="U22" s="167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</row>
    <row r="23" spans="1:55" x14ac:dyDescent="0.3">
      <c r="A23" s="320" t="s">
        <v>576</v>
      </c>
      <c r="B23" s="320" t="s">
        <v>555</v>
      </c>
      <c r="C23" s="320" t="s">
        <v>547</v>
      </c>
      <c r="D23" s="321">
        <f t="array" ref="D23">IF(ISERROR(MATCH(1, (표6[사용자] = '성장 시뮬레이터'!$B$1) * (표6[명장] = A23), 0)), "", INDEX(표6[무력단], MATCH(1, (표6[사용자] = '성장 시뮬레이터'!$B$1) * (표6[명장] = A23), 0)))</f>
        <v>1</v>
      </c>
      <c r="E23" s="321">
        <f t="array" ref="E23">IFERROR(INDEX(표6[지력단], MATCH(1, (표6[사용자] = '성장 시뮬레이터'!$B$1) * (표6[명장] = A23), 0)),"")</f>
        <v>0</v>
      </c>
      <c r="F23" s="322">
        <f>G23+H23</f>
        <v>166</v>
      </c>
      <c r="G23" s="323">
        <v>114</v>
      </c>
      <c r="H23" s="323">
        <v>52</v>
      </c>
      <c r="I23" s="323">
        <v>109</v>
      </c>
      <c r="J23" s="323">
        <v>124</v>
      </c>
      <c r="K23" s="323">
        <v>23</v>
      </c>
      <c r="L23" s="323">
        <v>40</v>
      </c>
      <c r="M23" s="323">
        <v>27</v>
      </c>
      <c r="N23" s="323">
        <v>10</v>
      </c>
      <c r="O23" s="323">
        <v>7</v>
      </c>
      <c r="P23" s="323">
        <v>4</v>
      </c>
      <c r="Q23" s="323">
        <v>12</v>
      </c>
      <c r="R23" s="323">
        <v>8</v>
      </c>
      <c r="S23" s="323">
        <v>12</v>
      </c>
      <c r="T23" s="323">
        <v>9</v>
      </c>
      <c r="U23" s="167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</row>
    <row r="24" spans="1:55" x14ac:dyDescent="0.3">
      <c r="A24" s="320" t="s">
        <v>627</v>
      </c>
      <c r="B24" s="320" t="s">
        <v>555</v>
      </c>
      <c r="C24" s="320" t="s">
        <v>547</v>
      </c>
      <c r="D24" s="321">
        <f t="array" ref="D24">IF(ISERROR(MATCH(1, (표6[사용자] = '성장 시뮬레이터'!$B$1) * (표6[명장] = A24), 0)), "", INDEX(표6[무력단], MATCH(1, (표6[사용자] = '성장 시뮬레이터'!$B$1) * (표6[명장] = A24), 0)))</f>
        <v>0</v>
      </c>
      <c r="E24" s="321">
        <f t="array" ref="E24">IFERROR(INDEX(표6[지력단], MATCH(1, (표6[사용자] = '성장 시뮬레이터'!$B$1) * (표6[명장] = A24), 0)),"")</f>
        <v>0</v>
      </c>
      <c r="F24" s="322">
        <f>G24+H24</f>
        <v>134</v>
      </c>
      <c r="G24" s="323">
        <v>92</v>
      </c>
      <c r="H24" s="323">
        <v>42</v>
      </c>
      <c r="I24" s="323">
        <v>87</v>
      </c>
      <c r="J24" s="323">
        <v>103</v>
      </c>
      <c r="K24" s="323">
        <v>0</v>
      </c>
      <c r="L24" s="323">
        <v>10</v>
      </c>
      <c r="M24" s="323">
        <v>9</v>
      </c>
      <c r="N24" s="323">
        <v>9</v>
      </c>
      <c r="O24" s="323">
        <v>0</v>
      </c>
      <c r="P24" s="323">
        <v>0</v>
      </c>
      <c r="Q24" s="323">
        <v>7</v>
      </c>
      <c r="R24" s="323">
        <v>6</v>
      </c>
      <c r="S24" s="323">
        <v>7</v>
      </c>
      <c r="T24" s="323">
        <v>6</v>
      </c>
      <c r="U24" s="167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</row>
    <row r="25" spans="1:55" x14ac:dyDescent="0.3">
      <c r="A25" s="320" t="s">
        <v>626</v>
      </c>
      <c r="B25" s="320" t="s">
        <v>555</v>
      </c>
      <c r="C25" s="320" t="s">
        <v>640</v>
      </c>
      <c r="D25" s="321">
        <f t="array" ref="D25">IF(ISERROR(MATCH(1, (표6[사용자] = '성장 시뮬레이터'!$B$1) * (표6[명장] = A25), 0)), "", INDEX(표6[무력단], MATCH(1, (표6[사용자] = '성장 시뮬레이터'!$B$1) * (표6[명장] = A25), 0)))</f>
        <v>0</v>
      </c>
      <c r="E25" s="321">
        <f t="array" ref="E25">IFERROR(INDEX(표6[지력단], MATCH(1, (표6[사용자] = '성장 시뮬레이터'!$B$1) * (표6[명장] = A25), 0)),"")</f>
        <v>0</v>
      </c>
      <c r="F25" s="322">
        <f>G25+H25</f>
        <v>150</v>
      </c>
      <c r="G25" s="323">
        <v>110</v>
      </c>
      <c r="H25" s="323">
        <v>40</v>
      </c>
      <c r="I25" s="323">
        <v>104</v>
      </c>
      <c r="J25" s="323">
        <v>127</v>
      </c>
      <c r="K25" s="323">
        <v>23</v>
      </c>
      <c r="L25" s="323">
        <v>39</v>
      </c>
      <c r="M25" s="323">
        <v>26</v>
      </c>
      <c r="N25" s="323">
        <v>9</v>
      </c>
      <c r="O25" s="323">
        <v>7</v>
      </c>
      <c r="P25" s="323">
        <v>4</v>
      </c>
      <c r="Q25" s="323">
        <v>11</v>
      </c>
      <c r="R25" s="323">
        <v>8</v>
      </c>
      <c r="S25" s="323">
        <v>12</v>
      </c>
      <c r="T25" s="323">
        <v>10</v>
      </c>
      <c r="U25" s="167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</row>
    <row r="26" spans="1:55" x14ac:dyDescent="0.3">
      <c r="A26" s="320" t="s">
        <v>605</v>
      </c>
      <c r="B26" s="320" t="s">
        <v>555</v>
      </c>
      <c r="C26" s="320" t="s">
        <v>547</v>
      </c>
      <c r="D26" s="321">
        <f t="array" ref="D26">IF(ISERROR(MATCH(1, (표6[사용자] = '성장 시뮬레이터'!$B$1) * (표6[명장] = A26), 0)), "", INDEX(표6[무력단], MATCH(1, (표6[사용자] = '성장 시뮬레이터'!$B$1) * (표6[명장] = A26), 0)))</f>
        <v>0</v>
      </c>
      <c r="E26" s="321">
        <f t="array" ref="E26">IFERROR(INDEX(표6[지력단], MATCH(1, (표6[사용자] = '성장 시뮬레이터'!$B$1) * (표6[명장] = A26), 0)),"")</f>
        <v>0</v>
      </c>
      <c r="F26" s="322">
        <f>G26+H26</f>
        <v>182</v>
      </c>
      <c r="G26" s="323">
        <v>71</v>
      </c>
      <c r="H26" s="323">
        <v>111</v>
      </c>
      <c r="I26" s="323">
        <v>104</v>
      </c>
      <c r="J26" s="323">
        <v>108</v>
      </c>
      <c r="K26" s="323">
        <v>31</v>
      </c>
      <c r="L26" s="323">
        <v>24</v>
      </c>
      <c r="M26" s="323">
        <v>33</v>
      </c>
      <c r="N26" s="323">
        <v>8</v>
      </c>
      <c r="O26" s="323">
        <v>13</v>
      </c>
      <c r="P26" s="323">
        <v>14</v>
      </c>
      <c r="Q26" s="323">
        <v>0</v>
      </c>
      <c r="R26" s="323">
        <v>9</v>
      </c>
      <c r="S26" s="323">
        <v>4</v>
      </c>
      <c r="T26" s="323">
        <v>4</v>
      </c>
      <c r="U26" s="167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</row>
    <row r="27" spans="1:55" x14ac:dyDescent="0.3">
      <c r="A27" s="320" t="s">
        <v>594</v>
      </c>
      <c r="B27" s="320" t="s">
        <v>555</v>
      </c>
      <c r="C27" s="320" t="s">
        <v>547</v>
      </c>
      <c r="D27" s="321">
        <f t="array" ref="D27">IF(ISERROR(MATCH(1, (표6[사용자] = '성장 시뮬레이터'!$B$1) * (표6[명장] = A27), 0)), "", INDEX(표6[무력단], MATCH(1, (표6[사용자] = '성장 시뮬레이터'!$B$1) * (표6[명장] = A27), 0)))</f>
        <v>0</v>
      </c>
      <c r="E27" s="321">
        <f t="array" ref="E27">IFERROR(INDEX(표6[지력단], MATCH(1, (표6[사용자] = '성장 시뮬레이터'!$B$1) * (표6[명장] = A27), 0)),"")</f>
        <v>0</v>
      </c>
      <c r="F27" s="322">
        <f>G27+H27</f>
        <v>162</v>
      </c>
      <c r="G27" s="323">
        <v>54</v>
      </c>
      <c r="H27" s="323">
        <v>108</v>
      </c>
      <c r="I27" s="323">
        <v>102</v>
      </c>
      <c r="J27" s="323">
        <v>103</v>
      </c>
      <c r="K27" s="323">
        <v>26</v>
      </c>
      <c r="L27" s="323">
        <v>15</v>
      </c>
      <c r="M27" s="323">
        <v>23</v>
      </c>
      <c r="N27" s="323">
        <v>8</v>
      </c>
      <c r="O27" s="323">
        <v>12</v>
      </c>
      <c r="P27" s="323">
        <v>13</v>
      </c>
      <c r="Q27" s="323">
        <v>0</v>
      </c>
      <c r="R27" s="323">
        <v>6</v>
      </c>
      <c r="S27" s="323">
        <v>4</v>
      </c>
      <c r="T27" s="323">
        <v>0</v>
      </c>
      <c r="U27" s="167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</row>
    <row r="28" spans="1:55" x14ac:dyDescent="0.3">
      <c r="A28" s="320" t="s">
        <v>574</v>
      </c>
      <c r="B28" s="320" t="s">
        <v>555</v>
      </c>
      <c r="C28" s="320" t="s">
        <v>243</v>
      </c>
      <c r="D28" s="321">
        <f t="array" ref="D28">IF(ISERROR(MATCH(1, (표6[사용자] = '성장 시뮬레이터'!$B$1) * (표6[명장] = A28), 0)), "", INDEX(표6[무력단], MATCH(1, (표6[사용자] = '성장 시뮬레이터'!$B$1) * (표6[명장] = A28), 0)))</f>
        <v>2</v>
      </c>
      <c r="E28" s="321">
        <f t="array" ref="E28">IFERROR(INDEX(표6[지력단], MATCH(1, (표6[사용자] = '성장 시뮬레이터'!$B$1) * (표6[명장] = A28), 0)),"")</f>
        <v>0</v>
      </c>
      <c r="F28" s="322">
        <f>G28+H28</f>
        <v>183</v>
      </c>
      <c r="G28" s="323">
        <v>72</v>
      </c>
      <c r="H28" s="323">
        <v>111</v>
      </c>
      <c r="I28" s="323">
        <v>109</v>
      </c>
      <c r="J28" s="323">
        <v>112</v>
      </c>
      <c r="K28" s="323">
        <v>30</v>
      </c>
      <c r="L28" s="323">
        <v>23</v>
      </c>
      <c r="M28" s="323">
        <v>32</v>
      </c>
      <c r="N28" s="323">
        <v>6</v>
      </c>
      <c r="O28" s="323">
        <v>13</v>
      </c>
      <c r="P28" s="323">
        <v>14</v>
      </c>
      <c r="Q28" s="323">
        <v>0</v>
      </c>
      <c r="R28" s="323">
        <v>9</v>
      </c>
      <c r="S28" s="323">
        <v>4</v>
      </c>
      <c r="T28" s="323">
        <v>5</v>
      </c>
      <c r="U28" s="167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</row>
    <row r="29" spans="1:55" x14ac:dyDescent="0.3">
      <c r="A29" s="320" t="s">
        <v>619</v>
      </c>
      <c r="B29" s="320" t="s">
        <v>555</v>
      </c>
      <c r="C29" s="320" t="s">
        <v>640</v>
      </c>
      <c r="D29" s="321">
        <f t="array" ref="D29">IF(ISERROR(MATCH(1, (표6[사용자] = '성장 시뮬레이터'!$B$1) * (표6[명장] = A29), 0)), "", INDEX(표6[무력단], MATCH(1, (표6[사용자] = '성장 시뮬레이터'!$B$1) * (표6[명장] = A29), 0)))</f>
        <v>0</v>
      </c>
      <c r="E29" s="321">
        <f t="array" ref="E29">IFERROR(INDEX(표6[지력단], MATCH(1, (표6[사용자] = '성장 시뮬레이터'!$B$1) * (표6[명장] = A29), 0)),"")</f>
        <v>0</v>
      </c>
      <c r="F29" s="322">
        <f>G29+H29</f>
        <v>162</v>
      </c>
      <c r="G29" s="323">
        <v>49</v>
      </c>
      <c r="H29" s="323">
        <v>113</v>
      </c>
      <c r="I29" s="323">
        <v>115</v>
      </c>
      <c r="J29" s="323">
        <v>116</v>
      </c>
      <c r="K29" s="323">
        <v>34</v>
      </c>
      <c r="L29" s="323">
        <v>20</v>
      </c>
      <c r="M29" s="323">
        <v>23</v>
      </c>
      <c r="N29" s="323">
        <v>6</v>
      </c>
      <c r="O29" s="323">
        <v>14</v>
      </c>
      <c r="P29" s="323">
        <v>13</v>
      </c>
      <c r="Q29" s="323">
        <v>0</v>
      </c>
      <c r="R29" s="323">
        <v>6</v>
      </c>
      <c r="S29" s="323">
        <v>4</v>
      </c>
      <c r="T29" s="323">
        <v>0</v>
      </c>
      <c r="W29" s="4"/>
      <c r="AD29" s="4"/>
    </row>
    <row r="30" spans="1:55" x14ac:dyDescent="0.3">
      <c r="A30" s="320" t="s">
        <v>630</v>
      </c>
      <c r="B30" s="320" t="s">
        <v>555</v>
      </c>
      <c r="C30" s="320" t="s">
        <v>641</v>
      </c>
      <c r="D30" s="321">
        <f t="array" ref="D30">IF(ISERROR(MATCH(1, (표6[사용자] = '성장 시뮬레이터'!$B$1) * (표6[명장] = A30), 0)), "", INDEX(표6[무력단], MATCH(1, (표6[사용자] = '성장 시뮬레이터'!$B$1) * (표6[명장] = A30), 0)))</f>
        <v>0</v>
      </c>
      <c r="E30" s="321">
        <f t="array" ref="E30">IFERROR(INDEX(표6[지력단], MATCH(1, (표6[사용자] = '성장 시뮬레이터'!$B$1) * (표6[명장] = A30), 0)),"")</f>
        <v>0</v>
      </c>
      <c r="F30" s="322">
        <f>G30+H30</f>
        <v>193</v>
      </c>
      <c r="G30" s="323">
        <v>113</v>
      </c>
      <c r="H30" s="323">
        <v>80</v>
      </c>
      <c r="I30" s="323">
        <v>116</v>
      </c>
      <c r="J30" s="323">
        <v>129</v>
      </c>
      <c r="K30" s="323">
        <v>28</v>
      </c>
      <c r="L30" s="323">
        <v>46</v>
      </c>
      <c r="M30" s="323">
        <v>38</v>
      </c>
      <c r="N30" s="323">
        <v>9</v>
      </c>
      <c r="O30" s="323">
        <v>7</v>
      </c>
      <c r="P30" s="323">
        <v>5</v>
      </c>
      <c r="Q30" s="323">
        <v>12</v>
      </c>
      <c r="R30" s="323">
        <v>11</v>
      </c>
      <c r="S30" s="323">
        <v>12</v>
      </c>
      <c r="T30" s="323">
        <v>11</v>
      </c>
      <c r="W30" s="4"/>
      <c r="AD30" s="4"/>
    </row>
    <row r="31" spans="1:55" x14ac:dyDescent="0.3">
      <c r="A31" s="320" t="s">
        <v>617</v>
      </c>
      <c r="B31" s="320" t="s">
        <v>555</v>
      </c>
      <c r="C31" s="320" t="s">
        <v>547</v>
      </c>
      <c r="D31" s="321">
        <f t="array" ref="D31">IF(ISERROR(MATCH(1, (표6[사용자] = '성장 시뮬레이터'!$B$1) * (표6[명장] = A31), 0)), "", INDEX(표6[무력단], MATCH(1, (표6[사용자] = '성장 시뮬레이터'!$B$1) * (표6[명장] = A31), 0)))</f>
        <v>0</v>
      </c>
      <c r="E31" s="321">
        <f t="array" ref="E31">IFERROR(INDEX(표6[지력단], MATCH(1, (표6[사용자] = '성장 시뮬레이터'!$B$1) * (표6[명장] = A31), 0)),"")</f>
        <v>0</v>
      </c>
      <c r="F31" s="322">
        <f>G31+H31</f>
        <v>169</v>
      </c>
      <c r="G31" s="323">
        <v>68</v>
      </c>
      <c r="H31" s="323">
        <v>101</v>
      </c>
      <c r="I31" s="323">
        <v>80</v>
      </c>
      <c r="J31" s="323">
        <v>77</v>
      </c>
      <c r="K31" s="323">
        <v>16</v>
      </c>
      <c r="L31" s="323">
        <v>9</v>
      </c>
      <c r="M31" s="323">
        <v>5</v>
      </c>
      <c r="N31" s="323">
        <v>6</v>
      </c>
      <c r="O31" s="323">
        <v>12</v>
      </c>
      <c r="P31" s="323">
        <v>9</v>
      </c>
      <c r="Q31" s="323">
        <v>0</v>
      </c>
      <c r="R31" s="323">
        <v>6</v>
      </c>
      <c r="S31" s="323">
        <v>0</v>
      </c>
      <c r="T31" s="323">
        <v>0</v>
      </c>
      <c r="W31" s="4"/>
      <c r="AD31" s="4"/>
      <c r="AE31" s="90"/>
      <c r="AF31" s="90"/>
    </row>
    <row r="32" spans="1:55" x14ac:dyDescent="0.3">
      <c r="A32" s="320" t="s">
        <v>616</v>
      </c>
      <c r="B32" s="320" t="s">
        <v>555</v>
      </c>
      <c r="C32" s="320" t="s">
        <v>243</v>
      </c>
      <c r="D32" s="321">
        <f t="array" ref="D32">IF(ISERROR(MATCH(1, (표6[사용자] = '성장 시뮬레이터'!$B$1) * (표6[명장] = A32), 0)), "", INDEX(표6[무력단], MATCH(1, (표6[사용자] = '성장 시뮬레이터'!$B$1) * (표6[명장] = A32), 0)))</f>
        <v>0</v>
      </c>
      <c r="E32" s="321">
        <f t="array" ref="E32">IFERROR(INDEX(표6[지력단], MATCH(1, (표6[사용자] = '성장 시뮬레이터'!$B$1) * (표6[명장] = A32), 0)),"")</f>
        <v>0</v>
      </c>
      <c r="F32" s="322">
        <f>G32+H32</f>
        <v>169</v>
      </c>
      <c r="G32" s="323">
        <v>102</v>
      </c>
      <c r="H32" s="323">
        <v>67</v>
      </c>
      <c r="I32" s="323">
        <v>97</v>
      </c>
      <c r="J32" s="323">
        <v>92</v>
      </c>
      <c r="K32" s="323">
        <v>11</v>
      </c>
      <c r="L32" s="323">
        <v>25</v>
      </c>
      <c r="M32" s="323">
        <v>14</v>
      </c>
      <c r="N32" s="323">
        <v>9</v>
      </c>
      <c r="O32" s="323">
        <v>4</v>
      </c>
      <c r="P32" s="323">
        <v>0</v>
      </c>
      <c r="Q32" s="323">
        <v>10</v>
      </c>
      <c r="R32" s="323">
        <v>6</v>
      </c>
      <c r="S32" s="323">
        <v>11</v>
      </c>
      <c r="T32" s="323">
        <v>6</v>
      </c>
      <c r="X32" s="91"/>
      <c r="AD32" s="4"/>
    </row>
    <row r="33" spans="1:31" x14ac:dyDescent="0.3">
      <c r="A33" s="320" t="s">
        <v>596</v>
      </c>
      <c r="B33" s="320" t="s">
        <v>571</v>
      </c>
      <c r="C33" s="320" t="s">
        <v>238</v>
      </c>
      <c r="D33" s="321">
        <f t="array" ref="D33">IF(ISERROR(MATCH(1, (표6[사용자] = '성장 시뮬레이터'!$B$1) * (표6[명장] = A33), 0)), "", INDEX(표6[무력단], MATCH(1, (표6[사용자] = '성장 시뮬레이터'!$B$1) * (표6[명장] = A33), 0)))</f>
        <v>0</v>
      </c>
      <c r="E33" s="321">
        <f t="array" ref="E33">IFERROR(INDEX(표6[지력단], MATCH(1, (표6[사용자] = '성장 시뮬레이터'!$B$1) * (표6[명장] = A33), 0)),"")</f>
        <v>0</v>
      </c>
      <c r="F33" s="322">
        <f>G33+H33</f>
        <v>169</v>
      </c>
      <c r="G33" s="323">
        <v>71</v>
      </c>
      <c r="H33" s="323">
        <v>98</v>
      </c>
      <c r="I33" s="323">
        <v>105</v>
      </c>
      <c r="J33" s="323">
        <v>106</v>
      </c>
      <c r="K33" s="323">
        <v>24</v>
      </c>
      <c r="L33" s="323">
        <v>17</v>
      </c>
      <c r="M33" s="323">
        <v>15</v>
      </c>
      <c r="N33" s="323">
        <v>6</v>
      </c>
      <c r="O33" s="323">
        <v>12</v>
      </c>
      <c r="P33" s="323">
        <v>9</v>
      </c>
      <c r="Q33" s="323">
        <v>0</v>
      </c>
      <c r="R33" s="323">
        <v>6</v>
      </c>
      <c r="S33" s="323">
        <v>4</v>
      </c>
      <c r="T33" s="323">
        <v>0</v>
      </c>
      <c r="W33" s="4"/>
      <c r="AD33" s="4"/>
    </row>
    <row r="34" spans="1:31" x14ac:dyDescent="0.3">
      <c r="A34" s="320" t="s">
        <v>592</v>
      </c>
      <c r="B34" s="320" t="s">
        <v>555</v>
      </c>
      <c r="C34" s="320" t="s">
        <v>238</v>
      </c>
      <c r="D34" s="321">
        <f t="array" ref="D34">IF(ISERROR(MATCH(1, (표6[사용자] = '성장 시뮬레이터'!$B$1) * (표6[명장] = A34), 0)), "", INDEX(표6[무력단], MATCH(1, (표6[사용자] = '성장 시뮬레이터'!$B$1) * (표6[명장] = A34), 0)))</f>
        <v>0</v>
      </c>
      <c r="E34" s="321">
        <f t="array" ref="E34">IFERROR(INDEX(표6[지력단], MATCH(1, (표6[사용자] = '성장 시뮬레이터'!$B$1) * (표6[명장] = A34), 0)),"")</f>
        <v>0</v>
      </c>
      <c r="F34" s="322">
        <f>G34+H34</f>
        <v>195</v>
      </c>
      <c r="G34" s="323">
        <v>109</v>
      </c>
      <c r="H34" s="323">
        <v>86</v>
      </c>
      <c r="I34" s="323">
        <v>116</v>
      </c>
      <c r="J34" s="323">
        <v>130</v>
      </c>
      <c r="K34" s="323">
        <v>28</v>
      </c>
      <c r="L34" s="323">
        <v>45</v>
      </c>
      <c r="M34" s="323">
        <v>37</v>
      </c>
      <c r="N34" s="323">
        <v>9</v>
      </c>
      <c r="O34" s="323">
        <v>8</v>
      </c>
      <c r="P34" s="323">
        <v>5</v>
      </c>
      <c r="Q34" s="323">
        <v>11</v>
      </c>
      <c r="R34" s="323">
        <v>12</v>
      </c>
      <c r="S34" s="323">
        <v>12</v>
      </c>
      <c r="T34" s="323">
        <v>11</v>
      </c>
      <c r="W34" s="4"/>
      <c r="AD34" s="4"/>
    </row>
    <row r="35" spans="1:31" x14ac:dyDescent="0.3">
      <c r="A35" s="320" t="s">
        <v>568</v>
      </c>
      <c r="B35" s="320" t="s">
        <v>555</v>
      </c>
      <c r="C35" s="320" t="s">
        <v>567</v>
      </c>
      <c r="D35" s="321">
        <f t="array" ref="D35">IF(ISERROR(MATCH(1, (표6[사용자] = '성장 시뮬레이터'!$B$1) * (표6[명장] = A35), 0)), "", INDEX(표6[무력단], MATCH(1, (표6[사용자] = '성장 시뮬레이터'!$B$1) * (표6[명장] = A35), 0)))</f>
        <v>0</v>
      </c>
      <c r="E35" s="321">
        <f t="array" ref="E35">IFERROR(INDEX(표6[지력단], MATCH(1, (표6[사용자] = '성장 시뮬레이터'!$B$1) * (표6[명장] = A35), 0)),"")</f>
        <v>0</v>
      </c>
      <c r="F35" s="322">
        <f>G35+H35</f>
        <v>202</v>
      </c>
      <c r="G35" s="323">
        <v>94</v>
      </c>
      <c r="H35" s="323">
        <v>108</v>
      </c>
      <c r="I35" s="323">
        <v>113</v>
      </c>
      <c r="J35" s="323">
        <v>119</v>
      </c>
      <c r="K35" s="323">
        <v>39</v>
      </c>
      <c r="L35" s="323">
        <v>35</v>
      </c>
      <c r="M35" s="323">
        <v>37</v>
      </c>
      <c r="N35" s="323">
        <v>11</v>
      </c>
      <c r="O35" s="323">
        <v>12</v>
      </c>
      <c r="P35" s="323">
        <v>14</v>
      </c>
      <c r="Q35" s="323">
        <v>7</v>
      </c>
      <c r="R35" s="323">
        <v>12</v>
      </c>
      <c r="S35" s="323">
        <v>9</v>
      </c>
      <c r="T35" s="323">
        <v>7</v>
      </c>
      <c r="W35" s="4"/>
      <c r="AD35" s="4"/>
    </row>
    <row r="36" spans="1:31" x14ac:dyDescent="0.3">
      <c r="A36" s="320" t="s">
        <v>601</v>
      </c>
      <c r="B36" s="320" t="s">
        <v>571</v>
      </c>
      <c r="C36" s="320" t="s">
        <v>238</v>
      </c>
      <c r="D36" s="321">
        <f t="array" ref="D36">IF(ISERROR(MATCH(1, (표6[사용자] = '성장 시뮬레이터'!$B$1) * (표6[명장] = A36), 0)), "", INDEX(표6[무력단], MATCH(1, (표6[사용자] = '성장 시뮬레이터'!$B$1) * (표6[명장] = A36), 0)))</f>
        <v>0</v>
      </c>
      <c r="E36" s="321">
        <f t="array" ref="E36">IFERROR(INDEX(표6[지력단], MATCH(1, (표6[사용자] = '성장 시뮬레이터'!$B$1) * (표6[명장] = A36), 0)),"")</f>
        <v>0</v>
      </c>
      <c r="F36" s="322">
        <f>G36+H36</f>
        <v>187</v>
      </c>
      <c r="G36" s="323">
        <v>108</v>
      </c>
      <c r="H36" s="323">
        <v>79</v>
      </c>
      <c r="I36" s="323">
        <v>118</v>
      </c>
      <c r="J36" s="323">
        <v>109</v>
      </c>
      <c r="K36" s="323">
        <v>26</v>
      </c>
      <c r="L36" s="323">
        <v>43</v>
      </c>
      <c r="M36" s="323">
        <v>31</v>
      </c>
      <c r="N36" s="323">
        <v>9</v>
      </c>
      <c r="O36" s="323">
        <v>7</v>
      </c>
      <c r="P36" s="323">
        <v>5</v>
      </c>
      <c r="Q36" s="323">
        <v>11</v>
      </c>
      <c r="R36" s="323">
        <v>10</v>
      </c>
      <c r="S36" s="323">
        <v>12</v>
      </c>
      <c r="T36" s="323">
        <v>10</v>
      </c>
      <c r="W36" s="4"/>
      <c r="AD36" s="4"/>
    </row>
    <row r="37" spans="1:31" x14ac:dyDescent="0.3">
      <c r="A37" s="320" t="s">
        <v>566</v>
      </c>
      <c r="B37" s="320" t="s">
        <v>555</v>
      </c>
      <c r="C37" s="320" t="s">
        <v>567</v>
      </c>
      <c r="D37" s="321">
        <f t="array" ref="D37">IF(ISERROR(MATCH(1, (표6[사용자] = '성장 시뮬레이터'!$B$1) * (표6[명장] = A37), 0)), "", INDEX(표6[무력단], MATCH(1, (표6[사용자] = '성장 시뮬레이터'!$B$1) * (표6[명장] = A37), 0)))</f>
        <v>0</v>
      </c>
      <c r="E37" s="321">
        <f t="array" ref="E37">IFERROR(INDEX(표6[지력단], MATCH(1, (표6[사용자] = '성장 시뮬레이터'!$B$1) * (표6[명장] = A37), 0)),"")</f>
        <v>0</v>
      </c>
      <c r="F37" s="322">
        <f>G37+H37</f>
        <v>192</v>
      </c>
      <c r="G37" s="323">
        <v>111</v>
      </c>
      <c r="H37" s="323">
        <v>81</v>
      </c>
      <c r="I37" s="323">
        <v>118</v>
      </c>
      <c r="J37" s="323">
        <v>125</v>
      </c>
      <c r="K37" s="323">
        <v>28</v>
      </c>
      <c r="L37" s="323">
        <v>46</v>
      </c>
      <c r="M37" s="323">
        <v>38</v>
      </c>
      <c r="N37" s="323">
        <v>9</v>
      </c>
      <c r="O37" s="323">
        <v>8</v>
      </c>
      <c r="P37" s="323">
        <v>5</v>
      </c>
      <c r="Q37" s="323">
        <v>12</v>
      </c>
      <c r="R37" s="323">
        <v>12</v>
      </c>
      <c r="S37" s="323">
        <v>12</v>
      </c>
      <c r="T37" s="323">
        <v>11</v>
      </c>
      <c r="W37" s="4"/>
    </row>
    <row r="38" spans="1:31" x14ac:dyDescent="0.3">
      <c r="A38" s="320" t="s">
        <v>582</v>
      </c>
      <c r="B38" s="320" t="s">
        <v>555</v>
      </c>
      <c r="C38" s="320" t="s">
        <v>243</v>
      </c>
      <c r="D38" s="321">
        <f t="array" ref="D38">IF(ISERROR(MATCH(1, (표6[사용자] = '성장 시뮬레이터'!$B$1) * (표6[명장] = A38), 0)), "", INDEX(표6[무력단], MATCH(1, (표6[사용자] = '성장 시뮬레이터'!$B$1) * (표6[명장] = A38), 0)))</f>
        <v>0</v>
      </c>
      <c r="E38" s="321">
        <f t="array" ref="E38">IFERROR(INDEX(표6[지력단], MATCH(1, (표6[사용자] = '성장 시뮬레이터'!$B$1) * (표6[명장] = A38), 0)),"")</f>
        <v>0</v>
      </c>
      <c r="F38" s="322">
        <f>G38+H38</f>
        <v>158</v>
      </c>
      <c r="G38" s="323">
        <v>49</v>
      </c>
      <c r="H38" s="323">
        <v>109</v>
      </c>
      <c r="I38" s="323">
        <v>102</v>
      </c>
      <c r="J38" s="323">
        <v>107</v>
      </c>
      <c r="K38" s="323">
        <v>25</v>
      </c>
      <c r="L38" s="323">
        <v>14</v>
      </c>
      <c r="M38" s="323">
        <v>22</v>
      </c>
      <c r="N38" s="323">
        <v>6</v>
      </c>
      <c r="O38" s="323">
        <v>12</v>
      </c>
      <c r="P38" s="323">
        <v>13</v>
      </c>
      <c r="Q38" s="323">
        <v>0</v>
      </c>
      <c r="R38" s="323">
        <v>6</v>
      </c>
      <c r="S38" s="323">
        <v>4</v>
      </c>
      <c r="T38" s="323">
        <v>4</v>
      </c>
    </row>
    <row r="39" spans="1:31" x14ac:dyDescent="0.3">
      <c r="A39" s="320" t="s">
        <v>624</v>
      </c>
      <c r="B39" s="320" t="s">
        <v>555</v>
      </c>
      <c r="C39" s="320" t="s">
        <v>640</v>
      </c>
      <c r="D39" s="321">
        <f t="array" ref="D39">IF(ISERROR(MATCH(1, (표6[사용자] = '성장 시뮬레이터'!$B$1) * (표6[명장] = A39), 0)), "", INDEX(표6[무력단], MATCH(1, (표6[사용자] = '성장 시뮬레이터'!$B$1) * (표6[명장] = A39), 0)))</f>
        <v>0</v>
      </c>
      <c r="E39" s="321">
        <f t="array" ref="E39">IFERROR(INDEX(표6[지력단], MATCH(1, (표6[사용자] = '성장 시뮬레이터'!$B$1) * (표6[명장] = A39), 0)),"")</f>
        <v>0</v>
      </c>
      <c r="F39" s="322">
        <f>G39+H39</f>
        <v>164</v>
      </c>
      <c r="G39" s="323">
        <v>109</v>
      </c>
      <c r="H39" s="323">
        <v>55</v>
      </c>
      <c r="I39" s="323">
        <v>107</v>
      </c>
      <c r="J39" s="323">
        <v>120</v>
      </c>
      <c r="K39" s="323">
        <v>23</v>
      </c>
      <c r="L39" s="323">
        <v>38</v>
      </c>
      <c r="M39" s="323">
        <v>24</v>
      </c>
      <c r="N39" s="323">
        <v>9</v>
      </c>
      <c r="O39" s="323">
        <v>7</v>
      </c>
      <c r="P39" s="323">
        <v>4</v>
      </c>
      <c r="Q39" s="323">
        <v>11</v>
      </c>
      <c r="R39" s="323">
        <v>8</v>
      </c>
      <c r="S39" s="323">
        <v>12</v>
      </c>
      <c r="T39" s="323">
        <v>9</v>
      </c>
      <c r="W39" s="92"/>
    </row>
    <row r="40" spans="1:31" x14ac:dyDescent="0.3">
      <c r="A40" s="320" t="s">
        <v>598</v>
      </c>
      <c r="B40" s="320" t="s">
        <v>555</v>
      </c>
      <c r="C40" s="320" t="s">
        <v>238</v>
      </c>
      <c r="D40" s="321">
        <f t="array" ref="D40">IF(ISERROR(MATCH(1, (표6[사용자] = '성장 시뮬레이터'!$B$1) * (표6[명장] = A40), 0)), "", INDEX(표6[무력단], MATCH(1, (표6[사용자] = '성장 시뮬레이터'!$B$1) * (표6[명장] = A40), 0)))</f>
        <v>0</v>
      </c>
      <c r="E40" s="321">
        <f t="array" ref="E40">IFERROR(INDEX(표6[지력단], MATCH(1, (표6[사용자] = '성장 시뮬레이터'!$B$1) * (표6[명장] = A40), 0)),"")</f>
        <v>0</v>
      </c>
      <c r="F40" s="322">
        <f>G40+H40</f>
        <v>212</v>
      </c>
      <c r="G40" s="323">
        <v>103</v>
      </c>
      <c r="H40" s="323">
        <v>109</v>
      </c>
      <c r="I40" s="323">
        <v>113</v>
      </c>
      <c r="J40" s="323">
        <v>112</v>
      </c>
      <c r="K40" s="323">
        <v>40</v>
      </c>
      <c r="L40" s="323">
        <v>42</v>
      </c>
      <c r="M40" s="323">
        <v>35</v>
      </c>
      <c r="N40" s="323">
        <v>12</v>
      </c>
      <c r="O40" s="323">
        <v>13</v>
      </c>
      <c r="P40" s="323">
        <v>14</v>
      </c>
      <c r="Q40" s="323">
        <v>10</v>
      </c>
      <c r="R40" s="323">
        <v>12</v>
      </c>
      <c r="S40" s="323">
        <v>13</v>
      </c>
      <c r="T40" s="323">
        <v>7</v>
      </c>
    </row>
    <row r="41" spans="1:31" x14ac:dyDescent="0.3">
      <c r="A41" s="320" t="s">
        <v>581</v>
      </c>
      <c r="B41" s="320" t="s">
        <v>555</v>
      </c>
      <c r="C41" s="320" t="s">
        <v>640</v>
      </c>
      <c r="D41" s="321">
        <f t="array" ref="D41">IF(ISERROR(MATCH(1, (표6[사용자] = '성장 시뮬레이터'!$B$1) * (표6[명장] = A41), 0)), "", INDEX(표6[무력단], MATCH(1, (표6[사용자] = '성장 시뮬레이터'!$B$1) * (표6[명장] = A41), 0)))</f>
        <v>1</v>
      </c>
      <c r="E41" s="321">
        <f t="array" ref="E41">IFERROR(INDEX(표6[지력단], MATCH(1, (표6[사용자] = '성장 시뮬레이터'!$B$1) * (표6[명장] = A41), 0)),"")</f>
        <v>0</v>
      </c>
      <c r="F41" s="322">
        <f>G41+H41</f>
        <v>150</v>
      </c>
      <c r="G41" s="323">
        <v>116</v>
      </c>
      <c r="H41" s="323">
        <v>34</v>
      </c>
      <c r="I41" s="323">
        <v>109</v>
      </c>
      <c r="J41" s="323">
        <v>129</v>
      </c>
      <c r="K41" s="323">
        <v>23</v>
      </c>
      <c r="L41" s="323">
        <v>41</v>
      </c>
      <c r="M41" s="323">
        <v>27</v>
      </c>
      <c r="N41" s="323">
        <v>9</v>
      </c>
      <c r="O41" s="323">
        <v>7</v>
      </c>
      <c r="P41" s="323">
        <v>4</v>
      </c>
      <c r="Q41" s="323">
        <v>12</v>
      </c>
      <c r="R41" s="323">
        <v>8</v>
      </c>
      <c r="S41" s="323">
        <v>12</v>
      </c>
      <c r="T41" s="323">
        <v>10</v>
      </c>
      <c r="AD41" s="4"/>
      <c r="AE41" s="4"/>
    </row>
    <row r="42" spans="1:31" x14ac:dyDescent="0.3">
      <c r="A42" s="320" t="s">
        <v>563</v>
      </c>
      <c r="B42" s="320" t="s">
        <v>555</v>
      </c>
      <c r="C42" s="320" t="s">
        <v>564</v>
      </c>
      <c r="D42" s="321">
        <f t="array" ref="D42">IF(ISERROR(MATCH(1, (표6[사용자] = '성장 시뮬레이터'!$B$1) * (표6[명장] = A42), 0)), "", INDEX(표6[무력단], MATCH(1, (표6[사용자] = '성장 시뮬레이터'!$B$1) * (표6[명장] = A42), 0)))</f>
        <v>0</v>
      </c>
      <c r="E42" s="321">
        <f t="array" ref="E42">IFERROR(INDEX(표6[지력단], MATCH(1, (표6[사용자] = '성장 시뮬레이터'!$B$1) * (표6[명장] = A42), 0)),"")</f>
        <v>0</v>
      </c>
      <c r="F42" s="322">
        <f>G42+H42</f>
        <v>193</v>
      </c>
      <c r="G42" s="323">
        <v>116</v>
      </c>
      <c r="H42" s="323">
        <v>77</v>
      </c>
      <c r="I42" s="323">
        <v>117</v>
      </c>
      <c r="J42" s="323">
        <v>131</v>
      </c>
      <c r="K42" s="323">
        <v>28</v>
      </c>
      <c r="L42" s="323">
        <v>46</v>
      </c>
      <c r="M42" s="323">
        <v>38</v>
      </c>
      <c r="N42" s="323">
        <v>9</v>
      </c>
      <c r="O42" s="323">
        <v>7</v>
      </c>
      <c r="P42" s="323">
        <v>5</v>
      </c>
      <c r="Q42" s="323">
        <v>12</v>
      </c>
      <c r="R42" s="323">
        <v>11</v>
      </c>
      <c r="S42" s="323">
        <v>12</v>
      </c>
      <c r="T42" s="323">
        <v>11</v>
      </c>
      <c r="AD42" s="4"/>
      <c r="AE42" s="4"/>
    </row>
    <row r="43" spans="1:31" x14ac:dyDescent="0.3">
      <c r="A43" s="324" t="s">
        <v>631</v>
      </c>
      <c r="B43" s="320" t="s">
        <v>555</v>
      </c>
      <c r="C43" s="320" t="s">
        <v>641</v>
      </c>
      <c r="D43" s="321">
        <f t="array" ref="D43">IF(ISERROR(MATCH(1, (표6[사용자] = '성장 시뮬레이터'!$B$1) * (표6[명장] = A43), 0)), "", INDEX(표6[무력단], MATCH(1, (표6[사용자] = '성장 시뮬레이터'!$B$1) * (표6[명장] = A43), 0)))</f>
        <v>0</v>
      </c>
      <c r="E43" s="321">
        <f t="array" ref="E43">IFERROR(INDEX(표6[지력단], MATCH(1, (표6[사용자] = '성장 시뮬레이터'!$B$1) * (표6[명장] = A43), 0)),"")</f>
        <v>0</v>
      </c>
      <c r="F43" s="322">
        <f>G43+H43</f>
        <v>205</v>
      </c>
      <c r="G43" s="322">
        <v>115</v>
      </c>
      <c r="H43" s="322">
        <v>90</v>
      </c>
      <c r="I43" s="322">
        <v>116</v>
      </c>
      <c r="J43" s="322">
        <v>130</v>
      </c>
      <c r="K43" s="322">
        <v>34</v>
      </c>
      <c r="L43" s="322">
        <v>46</v>
      </c>
      <c r="M43" s="322">
        <v>40</v>
      </c>
      <c r="N43" s="322">
        <v>9</v>
      </c>
      <c r="O43" s="322">
        <v>11</v>
      </c>
      <c r="P43" s="323">
        <v>10</v>
      </c>
      <c r="Q43" s="323">
        <v>12</v>
      </c>
      <c r="R43" s="322">
        <v>14</v>
      </c>
      <c r="S43" s="322">
        <v>13</v>
      </c>
      <c r="T43" s="322">
        <v>11</v>
      </c>
    </row>
    <row r="44" spans="1:31" x14ac:dyDescent="0.3">
      <c r="A44" s="320" t="s">
        <v>608</v>
      </c>
      <c r="B44" s="320" t="s">
        <v>555</v>
      </c>
      <c r="C44" s="320" t="s">
        <v>641</v>
      </c>
      <c r="D44" s="321">
        <f t="array" ref="D44">IF(ISERROR(MATCH(1, (표6[사용자] = '성장 시뮬레이터'!$B$1) * (표6[명장] = A44), 0)), "", INDEX(표6[무력단], MATCH(1, (표6[사용자] = '성장 시뮬레이터'!$B$1) * (표6[명장] = A44), 0)))</f>
        <v>0</v>
      </c>
      <c r="E44" s="321">
        <f t="array" ref="E44">IFERROR(INDEX(표6[지력단], MATCH(1, (표6[사용자] = '성장 시뮬레이터'!$B$1) * (표6[명장] = A44), 0)),"")</f>
        <v>0</v>
      </c>
      <c r="F44" s="322">
        <f>G44+H44</f>
        <v>187</v>
      </c>
      <c r="G44" s="323">
        <v>112</v>
      </c>
      <c r="H44" s="323">
        <v>75</v>
      </c>
      <c r="I44" s="323">
        <v>117</v>
      </c>
      <c r="J44" s="323">
        <v>129</v>
      </c>
      <c r="K44" s="323">
        <v>28</v>
      </c>
      <c r="L44" s="323">
        <v>46</v>
      </c>
      <c r="M44" s="323">
        <v>38</v>
      </c>
      <c r="N44" s="323">
        <v>9</v>
      </c>
      <c r="O44" s="323">
        <v>7</v>
      </c>
      <c r="P44" s="323">
        <v>5</v>
      </c>
      <c r="Q44" s="323">
        <v>12</v>
      </c>
      <c r="R44" s="323">
        <v>11</v>
      </c>
      <c r="S44" s="323">
        <v>12</v>
      </c>
      <c r="T44" s="323">
        <v>11</v>
      </c>
    </row>
    <row r="45" spans="1:31" x14ac:dyDescent="0.3">
      <c r="A45" s="320" t="s">
        <v>628</v>
      </c>
      <c r="B45" s="320" t="s">
        <v>555</v>
      </c>
      <c r="C45" s="320" t="s">
        <v>243</v>
      </c>
      <c r="D45" s="321">
        <f t="array" ref="D45">IF(ISERROR(MATCH(1, (표6[사용자] = '성장 시뮬레이터'!$B$1) * (표6[명장] = A45), 0)), "", INDEX(표6[무력단], MATCH(1, (표6[사용자] = '성장 시뮬레이터'!$B$1) * (표6[명장] = A45), 0)))</f>
        <v>0</v>
      </c>
      <c r="E45" s="321">
        <f t="array" ref="E45">IFERROR(INDEX(표6[지력단], MATCH(1, (표6[사용자] = '성장 시뮬레이터'!$B$1) * (표6[명장] = A45), 0)),"")</f>
        <v>0</v>
      </c>
      <c r="F45" s="322">
        <f>G45+H45</f>
        <v>165</v>
      </c>
      <c r="G45" s="323">
        <v>93</v>
      </c>
      <c r="H45" s="323">
        <v>72</v>
      </c>
      <c r="I45" s="323">
        <v>93</v>
      </c>
      <c r="J45" s="323">
        <v>96</v>
      </c>
      <c r="K45" s="323">
        <v>4</v>
      </c>
      <c r="L45" s="323">
        <v>12</v>
      </c>
      <c r="M45" s="323">
        <v>14</v>
      </c>
      <c r="N45" s="323">
        <v>8</v>
      </c>
      <c r="O45" s="323">
        <v>0</v>
      </c>
      <c r="P45" s="323">
        <v>0</v>
      </c>
      <c r="Q45" s="323">
        <v>7</v>
      </c>
      <c r="R45" s="323">
        <v>6</v>
      </c>
      <c r="S45" s="323">
        <v>7</v>
      </c>
      <c r="T45" s="323">
        <v>6</v>
      </c>
    </row>
    <row r="46" spans="1:31" x14ac:dyDescent="0.3">
      <c r="A46" s="320" t="s">
        <v>597</v>
      </c>
      <c r="B46" s="320" t="s">
        <v>555</v>
      </c>
      <c r="C46" s="320" t="s">
        <v>640</v>
      </c>
      <c r="D46" s="321">
        <f t="array" ref="D46">IF(ISERROR(MATCH(1, (표6[사용자] = '성장 시뮬레이터'!$B$1) * (표6[명장] = A46), 0)), "", INDEX(표6[무력단], MATCH(1, (표6[사용자] = '성장 시뮬레이터'!$B$1) * (표6[명장] = A46), 0)))</f>
        <v>0</v>
      </c>
      <c r="E46" s="321">
        <f t="array" ref="E46">IFERROR(INDEX(표6[지력단], MATCH(1, (표6[사용자] = '성장 시뮬레이터'!$B$1) * (표6[명장] = A46), 0)),"")</f>
        <v>0</v>
      </c>
      <c r="F46" s="322">
        <f>G46+H46</f>
        <v>144</v>
      </c>
      <c r="G46" s="323">
        <v>41</v>
      </c>
      <c r="H46" s="323">
        <v>103</v>
      </c>
      <c r="I46" s="323">
        <v>98</v>
      </c>
      <c r="J46" s="323">
        <v>103</v>
      </c>
      <c r="K46" s="323">
        <v>21</v>
      </c>
      <c r="L46" s="323">
        <v>11</v>
      </c>
      <c r="M46" s="323">
        <v>12</v>
      </c>
      <c r="N46" s="323">
        <v>6</v>
      </c>
      <c r="O46" s="323">
        <v>13</v>
      </c>
      <c r="P46" s="323">
        <v>9</v>
      </c>
      <c r="Q46" s="323">
        <v>0</v>
      </c>
      <c r="R46" s="323">
        <v>6</v>
      </c>
      <c r="S46" s="323">
        <v>0</v>
      </c>
      <c r="T46" s="323">
        <v>0</v>
      </c>
    </row>
    <row r="47" spans="1:31" x14ac:dyDescent="0.3">
      <c r="A47" s="320" t="s">
        <v>585</v>
      </c>
      <c r="B47" s="320" t="s">
        <v>555</v>
      </c>
      <c r="C47" s="320" t="s">
        <v>640</v>
      </c>
      <c r="D47" s="321">
        <f t="array" ref="D47">IF(ISERROR(MATCH(1, (표6[사용자] = '성장 시뮬레이터'!$B$1) * (표6[명장] = A47), 0)), "", INDEX(표6[무력단], MATCH(1, (표6[사용자] = '성장 시뮬레이터'!$B$1) * (표6[명장] = A47), 0)))</f>
        <v>0</v>
      </c>
      <c r="E47" s="321">
        <f t="array" ref="E47">IFERROR(INDEX(표6[지력단], MATCH(1, (표6[사용자] = '성장 시뮬레이터'!$B$1) * (표6[명장] = A47), 0)),"")</f>
        <v>0</v>
      </c>
      <c r="F47" s="322">
        <f>G47+H47</f>
        <v>176</v>
      </c>
      <c r="G47" s="323">
        <v>94</v>
      </c>
      <c r="H47" s="323">
        <v>82</v>
      </c>
      <c r="I47" s="323">
        <v>108</v>
      </c>
      <c r="J47" s="323">
        <v>128</v>
      </c>
      <c r="K47" s="323">
        <v>13</v>
      </c>
      <c r="L47" s="323">
        <v>24</v>
      </c>
      <c r="M47" s="323">
        <v>27</v>
      </c>
      <c r="N47" s="323">
        <v>8</v>
      </c>
      <c r="O47" s="323">
        <v>2</v>
      </c>
      <c r="P47" s="323">
        <v>0</v>
      </c>
      <c r="Q47" s="323">
        <v>7</v>
      </c>
      <c r="R47" s="323">
        <v>11</v>
      </c>
      <c r="S47" s="323">
        <v>8</v>
      </c>
      <c r="T47" s="323">
        <v>7</v>
      </c>
    </row>
    <row r="48" spans="1:31" x14ac:dyDescent="0.3">
      <c r="A48" s="320" t="s">
        <v>621</v>
      </c>
      <c r="B48" s="320" t="s">
        <v>555</v>
      </c>
      <c r="C48" s="320" t="s">
        <v>547</v>
      </c>
      <c r="D48" s="321">
        <f t="array" ref="D48">IF(ISERROR(MATCH(1, (표6[사용자] = '성장 시뮬레이터'!$B$1) * (표6[명장] = A48), 0)), "", INDEX(표6[무력단], MATCH(1, (표6[사용자] = '성장 시뮬레이터'!$B$1) * (표6[명장] = A48), 0)))</f>
        <v>0</v>
      </c>
      <c r="E48" s="321">
        <f t="array" ref="E48">IFERROR(INDEX(표6[지력단], MATCH(1, (표6[사용자] = '성장 시뮬레이터'!$B$1) * (표6[명장] = A48), 0)),"")</f>
        <v>0</v>
      </c>
      <c r="F48" s="322">
        <f>G48+H48</f>
        <v>185</v>
      </c>
      <c r="G48" s="323">
        <v>107</v>
      </c>
      <c r="H48" s="323">
        <v>78</v>
      </c>
      <c r="I48" s="323">
        <v>103</v>
      </c>
      <c r="J48" s="323">
        <v>103</v>
      </c>
      <c r="K48" s="323">
        <v>23</v>
      </c>
      <c r="L48" s="323">
        <v>41</v>
      </c>
      <c r="M48" s="323">
        <v>33</v>
      </c>
      <c r="N48" s="323">
        <v>10</v>
      </c>
      <c r="O48" s="323">
        <v>7</v>
      </c>
      <c r="P48" s="323">
        <v>5</v>
      </c>
      <c r="Q48" s="323">
        <v>11</v>
      </c>
      <c r="R48" s="323">
        <v>10</v>
      </c>
      <c r="S48" s="323">
        <v>12</v>
      </c>
      <c r="T48" s="323">
        <v>10</v>
      </c>
    </row>
    <row r="49" spans="1:20" x14ac:dyDescent="0.3">
      <c r="A49" s="320" t="s">
        <v>569</v>
      </c>
      <c r="B49" s="320" t="s">
        <v>555</v>
      </c>
      <c r="C49" s="320" t="s">
        <v>556</v>
      </c>
      <c r="D49" s="321">
        <f t="array" ref="D49">IF(ISERROR(MATCH(1, (표6[사용자] = '성장 시뮬레이터'!$B$1) * (표6[명장] = A49), 0)), "", INDEX(표6[무력단], MATCH(1, (표6[사용자] = '성장 시뮬레이터'!$B$1) * (표6[명장] = A49), 0)))</f>
        <v>0</v>
      </c>
      <c r="E49" s="321">
        <f t="array" ref="E49">IFERROR(INDEX(표6[지력단], MATCH(1, (표6[사용자] = '성장 시뮬레이터'!$B$1) * (표6[명장] = A49), 0)),"")</f>
        <v>0</v>
      </c>
      <c r="F49" s="322">
        <f>G49+H49</f>
        <v>196</v>
      </c>
      <c r="G49" s="323">
        <v>104</v>
      </c>
      <c r="H49" s="323">
        <v>92</v>
      </c>
      <c r="I49" s="323">
        <v>116</v>
      </c>
      <c r="J49" s="323">
        <v>131</v>
      </c>
      <c r="K49" s="323">
        <v>29</v>
      </c>
      <c r="L49" s="323">
        <v>43</v>
      </c>
      <c r="M49" s="323">
        <v>40</v>
      </c>
      <c r="N49" s="323">
        <v>10</v>
      </c>
      <c r="O49" s="323">
        <v>11</v>
      </c>
      <c r="P49" s="323">
        <v>9</v>
      </c>
      <c r="Q49" s="323">
        <v>10</v>
      </c>
      <c r="R49" s="323">
        <v>14</v>
      </c>
      <c r="S49" s="323">
        <v>12</v>
      </c>
      <c r="T49" s="323">
        <v>11</v>
      </c>
    </row>
    <row r="50" spans="1:20" x14ac:dyDescent="0.3">
      <c r="A50" s="320" t="s">
        <v>588</v>
      </c>
      <c r="B50" s="320" t="s">
        <v>555</v>
      </c>
      <c r="C50" s="320" t="s">
        <v>238</v>
      </c>
      <c r="D50" s="321">
        <f t="array" ref="D50">IF(ISERROR(MATCH(1, (표6[사용자] = '성장 시뮬레이터'!$B$1) * (표6[명장] = A50), 0)), "", INDEX(표6[무력단], MATCH(1, (표6[사용자] = '성장 시뮬레이터'!$B$1) * (표6[명장] = A50), 0)))</f>
        <v>0</v>
      </c>
      <c r="E50" s="321">
        <f t="array" ref="E50">IFERROR(INDEX(표6[지력단], MATCH(1, (표6[사용자] = '성장 시뮬레이터'!$B$1) * (표6[명장] = A50), 0)),"")</f>
        <v>0</v>
      </c>
      <c r="F50" s="322">
        <f>G50+H50</f>
        <v>193</v>
      </c>
      <c r="G50" s="323">
        <v>84</v>
      </c>
      <c r="H50" s="323">
        <v>109</v>
      </c>
      <c r="I50" s="323">
        <v>106</v>
      </c>
      <c r="J50" s="323">
        <v>113</v>
      </c>
      <c r="K50" s="323">
        <v>32</v>
      </c>
      <c r="L50" s="323">
        <v>24</v>
      </c>
      <c r="M50" s="323">
        <v>32</v>
      </c>
      <c r="N50" s="323">
        <v>7</v>
      </c>
      <c r="O50" s="323">
        <v>12</v>
      </c>
      <c r="P50" s="323">
        <v>14</v>
      </c>
      <c r="Q50" s="323">
        <v>3</v>
      </c>
      <c r="R50" s="323">
        <v>10</v>
      </c>
      <c r="S50" s="323">
        <v>6</v>
      </c>
      <c r="T50" s="323">
        <v>5</v>
      </c>
    </row>
    <row r="51" spans="1:20" x14ac:dyDescent="0.3">
      <c r="A51" s="320" t="s">
        <v>559</v>
      </c>
      <c r="B51" s="320" t="s">
        <v>555</v>
      </c>
      <c r="C51" s="320" t="s">
        <v>560</v>
      </c>
      <c r="D51" s="321">
        <f t="array" ref="D51">IF(ISERROR(MATCH(1, (표6[사용자] = '성장 시뮬레이터'!$B$1) * (표6[명장] = A51), 0)), "", INDEX(표6[무력단], MATCH(1, (표6[사용자] = '성장 시뮬레이터'!$B$1) * (표6[명장] = A51), 0)))</f>
        <v>0</v>
      </c>
      <c r="E51" s="321">
        <f t="array" ref="E51">IFERROR(INDEX(표6[지력단], MATCH(1, (표6[사용자] = '성장 시뮬레이터'!$B$1) * (표6[명장] = A51), 0)),"")</f>
        <v>0</v>
      </c>
      <c r="F51" s="322">
        <f>G51+H51</f>
        <v>146</v>
      </c>
      <c r="G51" s="323">
        <v>39</v>
      </c>
      <c r="H51" s="323">
        <v>107</v>
      </c>
      <c r="I51" s="323">
        <v>102</v>
      </c>
      <c r="J51" s="323">
        <v>109</v>
      </c>
      <c r="K51" s="323">
        <v>29</v>
      </c>
      <c r="L51" s="323">
        <v>14</v>
      </c>
      <c r="M51" s="323">
        <v>21</v>
      </c>
      <c r="N51" s="323">
        <v>6</v>
      </c>
      <c r="O51" s="323">
        <v>13</v>
      </c>
      <c r="P51" s="323">
        <v>13</v>
      </c>
      <c r="Q51" s="323">
        <v>0</v>
      </c>
      <c r="R51" s="323">
        <v>6</v>
      </c>
      <c r="S51" s="323">
        <v>4</v>
      </c>
      <c r="T51" s="323">
        <v>0</v>
      </c>
    </row>
    <row r="52" spans="1:20" x14ac:dyDescent="0.3">
      <c r="A52" s="320" t="s">
        <v>604</v>
      </c>
      <c r="B52" s="320" t="s">
        <v>555</v>
      </c>
      <c r="C52" s="320" t="s">
        <v>640</v>
      </c>
      <c r="D52" s="321">
        <f t="array" ref="D52">IF(ISERROR(MATCH(1, (표6[사용자] = '성장 시뮬레이터'!$B$1) * (표6[명장] = A52), 0)), "", INDEX(표6[무력단], MATCH(1, (표6[사용자] = '성장 시뮬레이터'!$B$1) * (표6[명장] = A52), 0)))</f>
        <v>0</v>
      </c>
      <c r="E52" s="321">
        <f t="array" ref="E52">IFERROR(INDEX(표6[지력단], MATCH(1, (표6[사용자] = '성장 시뮬레이터'!$B$1) * (표6[명장] = A52), 0)),"")</f>
        <v>0</v>
      </c>
      <c r="F52" s="322">
        <f>G52+H52</f>
        <v>206</v>
      </c>
      <c r="G52" s="323">
        <v>112</v>
      </c>
      <c r="H52" s="323">
        <v>94</v>
      </c>
      <c r="I52" s="323">
        <v>117</v>
      </c>
      <c r="J52" s="323">
        <v>110</v>
      </c>
      <c r="K52" s="323">
        <v>29</v>
      </c>
      <c r="L52" s="323">
        <v>43</v>
      </c>
      <c r="M52" s="323">
        <v>35</v>
      </c>
      <c r="N52" s="323">
        <v>9</v>
      </c>
      <c r="O52" s="323">
        <v>11</v>
      </c>
      <c r="P52" s="323">
        <v>10</v>
      </c>
      <c r="Q52" s="323">
        <v>12</v>
      </c>
      <c r="R52" s="323">
        <v>12</v>
      </c>
      <c r="S52" s="323">
        <v>13</v>
      </c>
      <c r="T52" s="323">
        <v>11</v>
      </c>
    </row>
    <row r="53" spans="1:20" x14ac:dyDescent="0.3">
      <c r="A53" s="320" t="s">
        <v>577</v>
      </c>
      <c r="B53" s="320" t="s">
        <v>555</v>
      </c>
      <c r="C53" s="320" t="s">
        <v>547</v>
      </c>
      <c r="D53" s="321">
        <f t="array" ref="D53">IF(ISERROR(MATCH(1, (표6[사용자] = '성장 시뮬레이터'!$B$1) * (표6[명장] = A53), 0)), "", INDEX(표6[무력단], MATCH(1, (표6[사용자] = '성장 시뮬레이터'!$B$1) * (표6[명장] = A53), 0)))</f>
        <v>0</v>
      </c>
      <c r="E53" s="321">
        <f t="array" ref="E53">IFERROR(INDEX(표6[지력단], MATCH(1, (표6[사용자] = '성장 시뮬레이터'!$B$1) * (표6[명장] = A53), 0)),"")</f>
        <v>0</v>
      </c>
      <c r="F53" s="322">
        <f>G53+H53</f>
        <v>154</v>
      </c>
      <c r="G53" s="323">
        <v>113</v>
      </c>
      <c r="H53" s="323">
        <v>41</v>
      </c>
      <c r="I53" s="323">
        <v>102</v>
      </c>
      <c r="J53" s="323">
        <v>126</v>
      </c>
      <c r="K53" s="323">
        <v>23</v>
      </c>
      <c r="L53" s="323">
        <v>41</v>
      </c>
      <c r="M53" s="323">
        <v>29</v>
      </c>
      <c r="N53" s="323">
        <v>10</v>
      </c>
      <c r="O53" s="323">
        <v>7</v>
      </c>
      <c r="P53" s="323">
        <v>4</v>
      </c>
      <c r="Q53" s="323">
        <v>12</v>
      </c>
      <c r="R53" s="323">
        <v>8</v>
      </c>
      <c r="S53" s="323">
        <v>12</v>
      </c>
      <c r="T53" s="323">
        <v>10</v>
      </c>
    </row>
    <row r="54" spans="1:20" x14ac:dyDescent="0.3">
      <c r="A54" s="320" t="s">
        <v>622</v>
      </c>
      <c r="B54" s="320" t="s">
        <v>555</v>
      </c>
      <c r="C54" s="320" t="s">
        <v>243</v>
      </c>
      <c r="D54" s="321">
        <f t="array" ref="D54">IF(ISERROR(MATCH(1, (표6[사용자] = '성장 시뮬레이터'!$B$1) * (표6[명장] = A54), 0)), "", INDEX(표6[무력단], MATCH(1, (표6[사용자] = '성장 시뮬레이터'!$B$1) * (표6[명장] = A54), 0)))</f>
        <v>0</v>
      </c>
      <c r="E54" s="321">
        <f t="array" ref="E54">IFERROR(INDEX(표6[지력단], MATCH(1, (표6[사용자] = '성장 시뮬레이터'!$B$1) * (표6[명장] = A54), 0)),"")</f>
        <v>0</v>
      </c>
      <c r="F54" s="322">
        <f>G54+H54</f>
        <v>211</v>
      </c>
      <c r="G54" s="323">
        <v>121</v>
      </c>
      <c r="H54" s="323">
        <v>90</v>
      </c>
      <c r="I54" s="323">
        <v>130</v>
      </c>
      <c r="J54" s="323">
        <v>136</v>
      </c>
      <c r="K54" s="323">
        <v>34</v>
      </c>
      <c r="L54" s="323">
        <v>47</v>
      </c>
      <c r="M54" s="323">
        <v>40</v>
      </c>
      <c r="N54" s="323">
        <v>9</v>
      </c>
      <c r="O54" s="323">
        <v>11</v>
      </c>
      <c r="P54" s="323">
        <v>10</v>
      </c>
      <c r="Q54" s="323">
        <v>12</v>
      </c>
      <c r="R54" s="323">
        <v>14</v>
      </c>
      <c r="S54" s="323">
        <v>13</v>
      </c>
      <c r="T54" s="323">
        <v>12</v>
      </c>
    </row>
    <row r="55" spans="1:20" x14ac:dyDescent="0.3">
      <c r="A55" s="320" t="s">
        <v>578</v>
      </c>
      <c r="B55" s="320" t="s">
        <v>555</v>
      </c>
      <c r="C55" s="320" t="s">
        <v>243</v>
      </c>
      <c r="D55" s="321">
        <f t="array" ref="D55">IF(ISERROR(MATCH(1, (표6[사용자] = '성장 시뮬레이터'!$B$1) * (표6[명장] = A55), 0)), "", INDEX(표6[무력단], MATCH(1, (표6[사용자] = '성장 시뮬레이터'!$B$1) * (표6[명장] = A55), 0)))</f>
        <v>0</v>
      </c>
      <c r="E55" s="321">
        <f t="array" ref="E55">IFERROR(INDEX(표6[지력단], MATCH(1, (표6[사용자] = '성장 시뮬레이터'!$B$1) * (표6[명장] = A55), 0)),"")</f>
        <v>0</v>
      </c>
      <c r="F55" s="322">
        <f>G55+H55</f>
        <v>181</v>
      </c>
      <c r="G55" s="323">
        <v>116</v>
      </c>
      <c r="H55" s="323">
        <v>65</v>
      </c>
      <c r="I55" s="323">
        <v>111</v>
      </c>
      <c r="J55" s="323">
        <v>135</v>
      </c>
      <c r="K55" s="323">
        <v>28</v>
      </c>
      <c r="L55" s="323">
        <v>47</v>
      </c>
      <c r="M55" s="323">
        <v>38</v>
      </c>
      <c r="N55" s="323">
        <v>9</v>
      </c>
      <c r="O55" s="323">
        <v>7</v>
      </c>
      <c r="P55" s="323">
        <v>5</v>
      </c>
      <c r="Q55" s="323">
        <v>12</v>
      </c>
      <c r="R55" s="323">
        <v>10</v>
      </c>
      <c r="S55" s="323">
        <v>12</v>
      </c>
      <c r="T55" s="323">
        <v>12</v>
      </c>
    </row>
    <row r="56" spans="1:20" x14ac:dyDescent="0.3">
      <c r="A56" s="320" t="s">
        <v>575</v>
      </c>
      <c r="B56" s="320" t="s">
        <v>555</v>
      </c>
      <c r="C56" s="320" t="s">
        <v>547</v>
      </c>
      <c r="D56" s="321">
        <f t="array" ref="D56">IF(ISERROR(MATCH(1, (표6[사용자] = '성장 시뮬레이터'!$B$1) * (표6[명장] = A56), 0)), "", INDEX(표6[무력단], MATCH(1, (표6[사용자] = '성장 시뮬레이터'!$B$1) * (표6[명장] = A56), 0)))</f>
        <v>0</v>
      </c>
      <c r="E56" s="321">
        <f t="array" ref="E56">IFERROR(INDEX(표6[지력단], MATCH(1, (표6[사용자] = '성장 시뮬레이터'!$B$1) * (표6[명장] = A56), 0)),"")</f>
        <v>0</v>
      </c>
      <c r="F56" s="322">
        <f>G56+H56</f>
        <v>165</v>
      </c>
      <c r="G56" s="323">
        <v>53</v>
      </c>
      <c r="H56" s="323">
        <v>112</v>
      </c>
      <c r="I56" s="323">
        <v>101</v>
      </c>
      <c r="J56" s="323">
        <v>112</v>
      </c>
      <c r="K56" s="323">
        <v>27</v>
      </c>
      <c r="L56" s="323">
        <v>15</v>
      </c>
      <c r="M56" s="323">
        <v>23</v>
      </c>
      <c r="N56" s="323">
        <v>8</v>
      </c>
      <c r="O56" s="323">
        <v>13</v>
      </c>
      <c r="P56" s="323">
        <v>13</v>
      </c>
      <c r="Q56" s="323">
        <v>0</v>
      </c>
      <c r="R56" s="323">
        <v>6</v>
      </c>
      <c r="S56" s="323">
        <v>4</v>
      </c>
      <c r="T56" s="323">
        <v>0</v>
      </c>
    </row>
    <row r="57" spans="1:20" x14ac:dyDescent="0.3">
      <c r="A57" s="320" t="s">
        <v>589</v>
      </c>
      <c r="B57" s="320" t="s">
        <v>555</v>
      </c>
      <c r="C57" s="320" t="s">
        <v>547</v>
      </c>
      <c r="D57" s="321">
        <f t="array" ref="D57">IF(ISERROR(MATCH(1, (표6[사용자] = '성장 시뮬레이터'!$B$1) * (표6[명장] = A57), 0)), "", INDEX(표6[무력단], MATCH(1, (표6[사용자] = '성장 시뮬레이터'!$B$1) * (표6[명장] = A57), 0)))</f>
        <v>0</v>
      </c>
      <c r="E57" s="321">
        <f t="array" ref="E57">IFERROR(INDEX(표6[지력단], MATCH(1, (표6[사용자] = '성장 시뮬레이터'!$B$1) * (표6[명장] = A57), 0)),"")</f>
        <v>0</v>
      </c>
      <c r="F57" s="322">
        <f>G57+H57</f>
        <v>203</v>
      </c>
      <c r="G57" s="323">
        <v>115</v>
      </c>
      <c r="H57" s="323">
        <v>88</v>
      </c>
      <c r="I57" s="323">
        <v>118</v>
      </c>
      <c r="J57" s="323">
        <v>128</v>
      </c>
      <c r="K57" s="323">
        <v>31</v>
      </c>
      <c r="L57" s="323">
        <v>46</v>
      </c>
      <c r="M57" s="323">
        <v>40</v>
      </c>
      <c r="N57" s="323">
        <v>10</v>
      </c>
      <c r="O57" s="323">
        <v>8</v>
      </c>
      <c r="P57" s="323">
        <v>5</v>
      </c>
      <c r="Q57" s="323">
        <v>12</v>
      </c>
      <c r="R57" s="323">
        <v>12</v>
      </c>
      <c r="S57" s="323">
        <v>13</v>
      </c>
      <c r="T57" s="323">
        <v>11</v>
      </c>
    </row>
    <row r="58" spans="1:20" x14ac:dyDescent="0.3">
      <c r="A58" s="320" t="s">
        <v>612</v>
      </c>
      <c r="B58" s="320" t="s">
        <v>555</v>
      </c>
      <c r="C58" s="320" t="s">
        <v>243</v>
      </c>
      <c r="D58" s="321">
        <f t="array" ref="D58">IF(ISERROR(MATCH(1, (표6[사용자] = '성장 시뮬레이터'!$B$1) * (표6[명장] = A58), 0)), "", INDEX(표6[무력단], MATCH(1, (표6[사용자] = '성장 시뮬레이터'!$B$1) * (표6[명장] = A58), 0)))</f>
        <v>0</v>
      </c>
      <c r="E58" s="321">
        <f t="array" ref="E58">IFERROR(INDEX(표6[지력단], MATCH(1, (표6[사용자] = '성장 시뮬레이터'!$B$1) * (표6[명장] = A58), 0)),"")</f>
        <v>0</v>
      </c>
      <c r="F58" s="322">
        <f>G58+H58</f>
        <v>182</v>
      </c>
      <c r="G58" s="323">
        <v>102</v>
      </c>
      <c r="H58" s="323">
        <v>80</v>
      </c>
      <c r="I58" s="323">
        <v>113</v>
      </c>
      <c r="J58" s="323">
        <v>122</v>
      </c>
      <c r="K58" s="323">
        <v>20</v>
      </c>
      <c r="L58" s="323">
        <v>40</v>
      </c>
      <c r="M58" s="323">
        <v>31</v>
      </c>
      <c r="N58" s="323">
        <v>9</v>
      </c>
      <c r="O58" s="323">
        <v>4</v>
      </c>
      <c r="P58" s="323">
        <v>3</v>
      </c>
      <c r="Q58" s="323">
        <v>10</v>
      </c>
      <c r="R58" s="323">
        <v>10</v>
      </c>
      <c r="S58" s="323">
        <v>12</v>
      </c>
      <c r="T58" s="323">
        <v>8</v>
      </c>
    </row>
    <row r="59" spans="1:20" x14ac:dyDescent="0.3">
      <c r="A59" s="320" t="s">
        <v>557</v>
      </c>
      <c r="B59" s="320" t="s">
        <v>555</v>
      </c>
      <c r="C59" s="320" t="s">
        <v>558</v>
      </c>
      <c r="D59" s="321">
        <f t="array" ref="D59">IF(ISERROR(MATCH(1, (표6[사용자] = '성장 시뮬레이터'!$B$1) * (표6[명장] = A59), 0)), "", INDEX(표6[무력단], MATCH(1, (표6[사용자] = '성장 시뮬레이터'!$B$1) * (표6[명장] = A59), 0)))</f>
        <v>0</v>
      </c>
      <c r="E59" s="321">
        <f t="array" ref="E59">IFERROR(INDEX(표6[지력단], MATCH(1, (표6[사용자] = '성장 시뮬레이터'!$B$1) * (표6[명장] = A59), 0)),"")</f>
        <v>0</v>
      </c>
      <c r="F59" s="322">
        <f>G59+H59</f>
        <v>209</v>
      </c>
      <c r="G59" s="323">
        <v>100</v>
      </c>
      <c r="H59" s="323">
        <v>109</v>
      </c>
      <c r="I59" s="323">
        <v>118</v>
      </c>
      <c r="J59" s="323">
        <v>113</v>
      </c>
      <c r="K59" s="323">
        <v>38</v>
      </c>
      <c r="L59" s="323">
        <v>41</v>
      </c>
      <c r="M59" s="323">
        <v>36</v>
      </c>
      <c r="N59" s="323">
        <v>12</v>
      </c>
      <c r="O59" s="323">
        <v>13</v>
      </c>
      <c r="P59" s="323">
        <v>14</v>
      </c>
      <c r="Q59" s="323">
        <v>10</v>
      </c>
      <c r="R59" s="323">
        <v>12</v>
      </c>
      <c r="S59" s="323">
        <v>13</v>
      </c>
      <c r="T59" s="323">
        <v>8</v>
      </c>
    </row>
    <row r="60" spans="1:20" x14ac:dyDescent="0.3">
      <c r="A60" s="320" t="s">
        <v>580</v>
      </c>
      <c r="B60" s="320" t="s">
        <v>555</v>
      </c>
      <c r="C60" s="320" t="s">
        <v>640</v>
      </c>
      <c r="D60" s="321">
        <f t="array" ref="D60">IF(ISERROR(MATCH(1, (표6[사용자] = '성장 시뮬레이터'!$B$1) * (표6[명장] = A60), 0)), "", INDEX(표6[무력단], MATCH(1, (표6[사용자] = '성장 시뮬레이터'!$B$1) * (표6[명장] = A60), 0)))</f>
        <v>0</v>
      </c>
      <c r="E60" s="321">
        <f t="array" ref="E60">IFERROR(INDEX(표6[지력단], MATCH(1, (표6[사용자] = '성장 시뮬레이터'!$B$1) * (표6[명장] = A60), 0)),"")</f>
        <v>0</v>
      </c>
      <c r="F60" s="322">
        <f>G60+H60</f>
        <v>153</v>
      </c>
      <c r="G60" s="323">
        <v>46</v>
      </c>
      <c r="H60" s="323">
        <v>107</v>
      </c>
      <c r="I60" s="323">
        <v>107</v>
      </c>
      <c r="J60" s="323">
        <v>104</v>
      </c>
      <c r="K60" s="323">
        <v>29</v>
      </c>
      <c r="L60" s="323">
        <v>14</v>
      </c>
      <c r="M60" s="323">
        <v>21</v>
      </c>
      <c r="N60" s="323">
        <v>6</v>
      </c>
      <c r="O60" s="323">
        <v>13</v>
      </c>
      <c r="P60" s="323">
        <v>13</v>
      </c>
      <c r="Q60" s="323">
        <v>0</v>
      </c>
      <c r="R60" s="323">
        <v>6</v>
      </c>
      <c r="S60" s="323">
        <v>4</v>
      </c>
      <c r="T60" s="323">
        <v>0</v>
      </c>
    </row>
    <row r="61" spans="1:20" x14ac:dyDescent="0.3">
      <c r="A61" s="320" t="s">
        <v>586</v>
      </c>
      <c r="B61" s="320" t="s">
        <v>555</v>
      </c>
      <c r="C61" s="320" t="s">
        <v>238</v>
      </c>
      <c r="D61" s="321">
        <f t="array" ref="D61">IF(ISERROR(MATCH(1, (표6[사용자] = '성장 시뮬레이터'!$B$1) * (표6[명장] = A61), 0)), "", INDEX(표6[무력단], MATCH(1, (표6[사용자] = '성장 시뮬레이터'!$B$1) * (표6[명장] = A61), 0)))</f>
        <v>0</v>
      </c>
      <c r="E61" s="321">
        <f t="array" ref="E61">IFERROR(INDEX(표6[지력단], MATCH(1, (표6[사용자] = '성장 시뮬레이터'!$B$1) * (표6[명장] = A61), 0)),"")</f>
        <v>1</v>
      </c>
      <c r="F61" s="322">
        <f>G61+H61</f>
        <v>204</v>
      </c>
      <c r="G61" s="323">
        <v>90</v>
      </c>
      <c r="H61" s="323">
        <v>114</v>
      </c>
      <c r="I61" s="323">
        <v>116</v>
      </c>
      <c r="J61" s="323">
        <v>110</v>
      </c>
      <c r="K61" s="323">
        <v>36</v>
      </c>
      <c r="L61" s="323">
        <v>30</v>
      </c>
      <c r="M61" s="323">
        <v>35</v>
      </c>
      <c r="N61" s="323">
        <v>11</v>
      </c>
      <c r="O61" s="323">
        <v>13</v>
      </c>
      <c r="P61" s="323">
        <v>14</v>
      </c>
      <c r="Q61" s="323">
        <v>7</v>
      </c>
      <c r="R61" s="323">
        <v>12</v>
      </c>
      <c r="S61" s="323">
        <v>9</v>
      </c>
      <c r="T61" s="323">
        <v>7</v>
      </c>
    </row>
    <row r="62" spans="1:20" x14ac:dyDescent="0.3">
      <c r="A62" s="320" t="s">
        <v>615</v>
      </c>
      <c r="B62" s="320" t="s">
        <v>555</v>
      </c>
      <c r="C62" s="320" t="s">
        <v>238</v>
      </c>
      <c r="D62" s="321">
        <f t="array" ref="D62">IF(ISERROR(MATCH(1, (표6[사용자] = '성장 시뮬레이터'!$B$1) * (표6[명장] = A62), 0)), "", INDEX(표6[무력단], MATCH(1, (표6[사용자] = '성장 시뮬레이터'!$B$1) * (표6[명장] = A62), 0)))</f>
        <v>0</v>
      </c>
      <c r="E62" s="321">
        <f t="array" ref="E62">IFERROR(INDEX(표6[지력단], MATCH(1, (표6[사용자] = '성장 시뮬레이터'!$B$1) * (표6[명장] = A62), 0)),"")</f>
        <v>0</v>
      </c>
      <c r="F62" s="322">
        <f>G62+H62</f>
        <v>155</v>
      </c>
      <c r="G62" s="323">
        <v>102</v>
      </c>
      <c r="H62" s="323">
        <v>53</v>
      </c>
      <c r="I62" s="323">
        <v>112</v>
      </c>
      <c r="J62" s="323">
        <v>121</v>
      </c>
      <c r="K62" s="323">
        <v>15</v>
      </c>
      <c r="L62" s="323">
        <v>31</v>
      </c>
      <c r="M62" s="323">
        <v>20</v>
      </c>
      <c r="N62" s="323">
        <v>9</v>
      </c>
      <c r="O62" s="323">
        <v>4</v>
      </c>
      <c r="P62" s="323">
        <v>0</v>
      </c>
      <c r="Q62" s="323">
        <v>10</v>
      </c>
      <c r="R62" s="323">
        <v>8</v>
      </c>
      <c r="S62" s="323">
        <v>12</v>
      </c>
      <c r="T62" s="323">
        <v>6</v>
      </c>
    </row>
    <row r="63" spans="1:20" x14ac:dyDescent="0.3">
      <c r="A63" s="320" t="s">
        <v>595</v>
      </c>
      <c r="B63" s="320" t="s">
        <v>555</v>
      </c>
      <c r="C63" s="320" t="s">
        <v>640</v>
      </c>
      <c r="D63" s="321">
        <f t="array" ref="D63">IF(ISERROR(MATCH(1, (표6[사용자] = '성장 시뮬레이터'!$B$1) * (표6[명장] = A63), 0)), "", INDEX(표6[무력단], MATCH(1, (표6[사용자] = '성장 시뮬레이터'!$B$1) * (표6[명장] = A63), 0)))</f>
        <v>0</v>
      </c>
      <c r="E63" s="321">
        <f t="array" ref="E63">IFERROR(INDEX(표6[지력단], MATCH(1, (표6[사용자] = '성장 시뮬레이터'!$B$1) * (표6[명장] = A63), 0)),"")</f>
        <v>0</v>
      </c>
      <c r="F63" s="322">
        <f>G63+H63</f>
        <v>154</v>
      </c>
      <c r="G63" s="323">
        <v>46</v>
      </c>
      <c r="H63" s="323">
        <v>108</v>
      </c>
      <c r="I63" s="323">
        <v>96</v>
      </c>
      <c r="J63" s="323">
        <v>108</v>
      </c>
      <c r="K63" s="323">
        <v>29</v>
      </c>
      <c r="L63" s="323">
        <v>13</v>
      </c>
      <c r="M63" s="323">
        <v>19</v>
      </c>
      <c r="N63" s="323">
        <v>6</v>
      </c>
      <c r="O63" s="323">
        <v>13</v>
      </c>
      <c r="P63" s="323">
        <v>13</v>
      </c>
      <c r="Q63" s="323">
        <v>0</v>
      </c>
      <c r="R63" s="323">
        <v>6</v>
      </c>
      <c r="S63" s="323">
        <v>0</v>
      </c>
      <c r="T63" s="323">
        <v>0</v>
      </c>
    </row>
    <row r="64" spans="1:20" x14ac:dyDescent="0.3">
      <c r="A64" s="320" t="s">
        <v>623</v>
      </c>
      <c r="B64" s="320" t="s">
        <v>555</v>
      </c>
      <c r="C64" s="320" t="s">
        <v>641</v>
      </c>
      <c r="D64" s="321">
        <f t="array" ref="D64">IF(ISERROR(MATCH(1, (표6[사용자] = '성장 시뮬레이터'!$B$1) * (표6[명장] = A64), 0)), "", INDEX(표6[무력단], MATCH(1, (표6[사용자] = '성장 시뮬레이터'!$B$1) * (표6[명장] = A64), 0)))</f>
        <v>0</v>
      </c>
      <c r="E64" s="321">
        <f t="array" ref="E64">IFERROR(INDEX(표6[지력단], MATCH(1, (표6[사용자] = '성장 시뮬레이터'!$B$1) * (표6[명장] = A64), 0)),"")</f>
        <v>0</v>
      </c>
      <c r="F64" s="322">
        <f>G64+H64</f>
        <v>129</v>
      </c>
      <c r="G64" s="323">
        <v>101</v>
      </c>
      <c r="H64" s="323">
        <v>28</v>
      </c>
      <c r="I64" s="323">
        <v>94</v>
      </c>
      <c r="J64" s="323">
        <v>113</v>
      </c>
      <c r="K64" s="323">
        <v>10</v>
      </c>
      <c r="L64" s="323">
        <v>25</v>
      </c>
      <c r="M64" s="323">
        <v>14</v>
      </c>
      <c r="N64" s="323">
        <v>9</v>
      </c>
      <c r="O64" s="323">
        <v>4</v>
      </c>
      <c r="P64" s="323">
        <v>0</v>
      </c>
      <c r="Q64" s="323">
        <v>10</v>
      </c>
      <c r="R64" s="323">
        <v>6</v>
      </c>
      <c r="S64" s="323">
        <v>11</v>
      </c>
      <c r="T64" s="323">
        <v>6</v>
      </c>
    </row>
    <row r="65" spans="1:20" x14ac:dyDescent="0.3">
      <c r="A65" s="320" t="s">
        <v>572</v>
      </c>
      <c r="B65" s="320" t="s">
        <v>571</v>
      </c>
      <c r="C65" s="320" t="s">
        <v>243</v>
      </c>
      <c r="D65" s="321">
        <f t="array" ref="D65">IF(ISERROR(MATCH(1, (표6[사용자] = '성장 시뮬레이터'!$B$1) * (표6[명장] = A65), 0)), "", INDEX(표6[무력단], MATCH(1, (표6[사용자] = '성장 시뮬레이터'!$B$1) * (표6[명장] = A65), 0)))</f>
        <v>0</v>
      </c>
      <c r="E65" s="321">
        <f t="array" ref="E65">IFERROR(INDEX(표6[지력단], MATCH(1, (표6[사용자] = '성장 시뮬레이터'!$B$1) * (표6[명장] = A65), 0)),"")</f>
        <v>0</v>
      </c>
      <c r="F65" s="322">
        <f>G65+H65</f>
        <v>166</v>
      </c>
      <c r="G65" s="323">
        <v>65</v>
      </c>
      <c r="H65" s="323">
        <v>101</v>
      </c>
      <c r="I65" s="323">
        <v>112</v>
      </c>
      <c r="J65" s="323">
        <v>106</v>
      </c>
      <c r="K65" s="323">
        <v>26</v>
      </c>
      <c r="L65" s="323">
        <v>17</v>
      </c>
      <c r="M65" s="323">
        <v>15</v>
      </c>
      <c r="N65" s="323">
        <v>6</v>
      </c>
      <c r="O65" s="323">
        <v>13</v>
      </c>
      <c r="P65" s="323">
        <v>9</v>
      </c>
      <c r="Q65" s="323">
        <v>0</v>
      </c>
      <c r="R65" s="323">
        <v>6</v>
      </c>
      <c r="S65" s="323">
        <v>4</v>
      </c>
      <c r="T65" s="323">
        <v>0</v>
      </c>
    </row>
    <row r="66" spans="1:20" x14ac:dyDescent="0.3">
      <c r="A66" s="320" t="s">
        <v>613</v>
      </c>
      <c r="B66" s="320" t="s">
        <v>571</v>
      </c>
      <c r="C66" s="320" t="s">
        <v>641</v>
      </c>
      <c r="D66" s="321">
        <f t="array" ref="D66">IF(ISERROR(MATCH(1, (표6[사용자] = '성장 시뮬레이터'!$B$1) * (표6[명장] = A66), 0)), "", INDEX(표6[무력단], MATCH(1, (표6[사용자] = '성장 시뮬레이터'!$B$1) * (표6[명장] = A66), 0)))</f>
        <v>0</v>
      </c>
      <c r="E66" s="321">
        <f t="array" ref="E66">IFERROR(INDEX(표6[지력단], MATCH(1, (표6[사용자] = '성장 시뮬레이터'!$B$1) * (표6[명장] = A66), 0)),"")</f>
        <v>0</v>
      </c>
      <c r="F66" s="322">
        <f>G66+H66</f>
        <v>199</v>
      </c>
      <c r="G66" s="323">
        <v>115</v>
      </c>
      <c r="H66" s="323">
        <v>84</v>
      </c>
      <c r="I66" s="323">
        <v>115</v>
      </c>
      <c r="J66" s="323">
        <v>128</v>
      </c>
      <c r="K66" s="323">
        <v>32</v>
      </c>
      <c r="L66" s="323">
        <v>49</v>
      </c>
      <c r="M66" s="323">
        <v>38</v>
      </c>
      <c r="N66" s="323">
        <v>9</v>
      </c>
      <c r="O66" s="323">
        <v>8</v>
      </c>
      <c r="P66" s="323">
        <v>5</v>
      </c>
      <c r="Q66" s="323">
        <v>12</v>
      </c>
      <c r="R66" s="323">
        <v>12</v>
      </c>
      <c r="S66" s="323">
        <v>12</v>
      </c>
      <c r="T66" s="323">
        <v>11</v>
      </c>
    </row>
    <row r="67" spans="1:20" x14ac:dyDescent="0.3">
      <c r="A67" s="320" t="s">
        <v>570</v>
      </c>
      <c r="B67" s="320" t="s">
        <v>571</v>
      </c>
      <c r="C67" s="320" t="s">
        <v>560</v>
      </c>
      <c r="D67" s="321">
        <f t="array" ref="D67">IF(ISERROR(MATCH(1, (표6[사용자] = '성장 시뮬레이터'!$B$1) * (표6[명장] = A67), 0)), "", INDEX(표6[무력단], MATCH(1, (표6[사용자] = '성장 시뮬레이터'!$B$1) * (표6[명장] = A67), 0)))</f>
        <v>0</v>
      </c>
      <c r="E67" s="321">
        <f t="array" ref="E67">IFERROR(INDEX(표6[지력단], MATCH(1, (표6[사용자] = '성장 시뮬레이터'!$B$1) * (표6[명장] = A67), 0)),"")</f>
        <v>0</v>
      </c>
      <c r="F67" s="322">
        <f>G67+H67</f>
        <v>156</v>
      </c>
      <c r="G67" s="323">
        <v>53</v>
      </c>
      <c r="H67" s="323">
        <v>103</v>
      </c>
      <c r="I67" s="323">
        <v>103</v>
      </c>
      <c r="J67" s="323">
        <v>107</v>
      </c>
      <c r="K67" s="323">
        <v>27</v>
      </c>
      <c r="L67" s="323">
        <v>17</v>
      </c>
      <c r="M67" s="323">
        <v>15</v>
      </c>
      <c r="N67" s="323">
        <v>6</v>
      </c>
      <c r="O67" s="323">
        <v>13</v>
      </c>
      <c r="P67" s="323">
        <v>9</v>
      </c>
      <c r="Q67" s="323">
        <v>0</v>
      </c>
      <c r="R67" s="323">
        <v>6</v>
      </c>
      <c r="S67" s="323">
        <v>4</v>
      </c>
      <c r="T67" s="323">
        <v>0</v>
      </c>
    </row>
    <row r="68" spans="1:20" x14ac:dyDescent="0.3">
      <c r="A68" s="320" t="s">
        <v>603</v>
      </c>
      <c r="B68" s="320" t="s">
        <v>571</v>
      </c>
      <c r="C68" s="320" t="s">
        <v>547</v>
      </c>
      <c r="D68" s="321">
        <f t="array" ref="D68">IF(ISERROR(MATCH(1, (표6[사용자] = '성장 시뮬레이터'!$B$1) * (표6[명장] = A68), 0)), "", INDEX(표6[무력단], MATCH(1, (표6[사용자] = '성장 시뮬레이터'!$B$1) * (표6[명장] = A68), 0)))</f>
        <v>0</v>
      </c>
      <c r="E68" s="321">
        <f t="array" ref="E68">IFERROR(INDEX(표6[지력단], MATCH(1, (표6[사용자] = '성장 시뮬레이터'!$B$1) * (표6[명장] = A68), 0)),"")</f>
        <v>0</v>
      </c>
      <c r="F68" s="322">
        <f>G68+H68</f>
        <v>199</v>
      </c>
      <c r="G68" s="323">
        <v>111</v>
      </c>
      <c r="H68" s="323">
        <v>88</v>
      </c>
      <c r="I68" s="323">
        <v>118</v>
      </c>
      <c r="J68" s="323">
        <v>132</v>
      </c>
      <c r="K68" s="323">
        <v>32</v>
      </c>
      <c r="L68" s="323">
        <v>49</v>
      </c>
      <c r="M68" s="323">
        <v>40</v>
      </c>
      <c r="N68" s="323">
        <v>10</v>
      </c>
      <c r="O68" s="323">
        <v>8</v>
      </c>
      <c r="P68" s="323">
        <v>5</v>
      </c>
      <c r="Q68" s="323">
        <v>12</v>
      </c>
      <c r="R68" s="323">
        <v>12</v>
      </c>
      <c r="S68" s="323">
        <v>12</v>
      </c>
      <c r="T68" s="323">
        <v>11</v>
      </c>
    </row>
    <row r="69" spans="1:20" x14ac:dyDescent="0.3">
      <c r="A69" s="320" t="s">
        <v>583</v>
      </c>
      <c r="B69" s="320" t="s">
        <v>555</v>
      </c>
      <c r="C69" s="320" t="s">
        <v>238</v>
      </c>
      <c r="D69" s="321">
        <f t="array" ref="D69">IF(ISERROR(MATCH(1, (표6[사용자] = '성장 시뮬레이터'!$B$1) * (표6[명장] = A69), 0)), "", INDEX(표6[무력단], MATCH(1, (표6[사용자] = '성장 시뮬레이터'!$B$1) * (표6[명장] = A69), 0)))</f>
        <v>0</v>
      </c>
      <c r="E69" s="321">
        <f t="array" ref="E69">IFERROR(INDEX(표6[지력단], MATCH(1, (표6[사용자] = '성장 시뮬레이터'!$B$1) * (표6[명장] = A69), 0)),"")</f>
        <v>0</v>
      </c>
      <c r="F69" s="322">
        <f>G69+H69</f>
        <v>188</v>
      </c>
      <c r="G69" s="323">
        <v>112</v>
      </c>
      <c r="H69" s="323">
        <v>76</v>
      </c>
      <c r="I69" s="323">
        <v>113</v>
      </c>
      <c r="J69" s="323">
        <v>130</v>
      </c>
      <c r="K69" s="323">
        <v>28</v>
      </c>
      <c r="L69" s="323">
        <v>46</v>
      </c>
      <c r="M69" s="323">
        <v>38</v>
      </c>
      <c r="N69" s="323">
        <v>9</v>
      </c>
      <c r="O69" s="323">
        <v>7</v>
      </c>
      <c r="P69" s="323">
        <v>5</v>
      </c>
      <c r="Q69" s="323">
        <v>12</v>
      </c>
      <c r="R69" s="323">
        <v>11</v>
      </c>
      <c r="S69" s="323">
        <v>12</v>
      </c>
      <c r="T69" s="323">
        <v>11</v>
      </c>
    </row>
    <row r="70" spans="1:20" x14ac:dyDescent="0.3">
      <c r="A70" s="320" t="s">
        <v>602</v>
      </c>
      <c r="B70" s="320" t="s">
        <v>555</v>
      </c>
      <c r="C70" s="320" t="s">
        <v>243</v>
      </c>
      <c r="D70" s="321">
        <f t="array" ref="D70">IF(ISERROR(MATCH(1, (표6[사용자] = '성장 시뮬레이터'!$B$1) * (표6[명장] = A70), 0)), "", INDEX(표6[무력단], MATCH(1, (표6[사용자] = '성장 시뮬레이터'!$B$1) * (표6[명장] = A70), 0)))</f>
        <v>0</v>
      </c>
      <c r="E70" s="321">
        <f t="array" ref="E70">IFERROR(INDEX(표6[지력단], MATCH(1, (표6[사용자] = '성장 시뮬레이터'!$B$1) * (표6[명장] = A70), 0)),"")</f>
        <v>0</v>
      </c>
      <c r="F70" s="322">
        <f>G70+H70</f>
        <v>185</v>
      </c>
      <c r="G70" s="323">
        <v>108</v>
      </c>
      <c r="H70" s="323">
        <v>77</v>
      </c>
      <c r="I70" s="323">
        <v>116</v>
      </c>
      <c r="J70" s="323">
        <v>131</v>
      </c>
      <c r="K70" s="323">
        <v>28</v>
      </c>
      <c r="L70" s="323">
        <v>46</v>
      </c>
      <c r="M70" s="323">
        <v>37</v>
      </c>
      <c r="N70" s="323">
        <v>9</v>
      </c>
      <c r="O70" s="323">
        <v>7</v>
      </c>
      <c r="P70" s="323">
        <v>5</v>
      </c>
      <c r="Q70" s="323">
        <v>11</v>
      </c>
      <c r="R70" s="323">
        <v>10</v>
      </c>
      <c r="S70" s="323">
        <v>12</v>
      </c>
      <c r="T70" s="323">
        <v>12</v>
      </c>
    </row>
    <row r="71" spans="1:20" x14ac:dyDescent="0.3">
      <c r="A71" s="320" t="s">
        <v>561</v>
      </c>
      <c r="B71" s="320" t="s">
        <v>555</v>
      </c>
      <c r="C71" s="320" t="s">
        <v>558</v>
      </c>
      <c r="D71" s="321">
        <f t="array" ref="D71">IF(ISERROR(MATCH(1, (표6[사용자] = '성장 시뮬레이터'!$B$1) * (표6[명장] = A71), 0)), "", INDEX(표6[무력단], MATCH(1, (표6[사용자] = '성장 시뮬레이터'!$B$1) * (표6[명장] = A71), 0)))</f>
        <v>0</v>
      </c>
      <c r="E71" s="321">
        <f t="array" ref="E71">IFERROR(INDEX(표6[지력단], MATCH(1, (표6[사용자] = '성장 시뮬레이터'!$B$1) * (표6[명장] = A71), 0)),"")</f>
        <v>0</v>
      </c>
      <c r="F71" s="322">
        <f>G71+H71</f>
        <v>193</v>
      </c>
      <c r="G71" s="323">
        <v>113</v>
      </c>
      <c r="H71" s="323">
        <v>80</v>
      </c>
      <c r="I71" s="323">
        <v>114</v>
      </c>
      <c r="J71" s="323">
        <v>128</v>
      </c>
      <c r="K71" s="323">
        <v>29</v>
      </c>
      <c r="L71" s="323">
        <v>47</v>
      </c>
      <c r="M71" s="323">
        <v>39</v>
      </c>
      <c r="N71" s="323">
        <v>9</v>
      </c>
      <c r="O71" s="323">
        <v>7</v>
      </c>
      <c r="P71" s="323">
        <v>5</v>
      </c>
      <c r="Q71" s="323">
        <v>12</v>
      </c>
      <c r="R71" s="323">
        <v>11</v>
      </c>
      <c r="S71" s="323">
        <v>12</v>
      </c>
      <c r="T71" s="323">
        <v>12</v>
      </c>
    </row>
    <row r="72" spans="1:20" x14ac:dyDescent="0.3">
      <c r="A72" s="320" t="s">
        <v>610</v>
      </c>
      <c r="B72" s="320" t="s">
        <v>555</v>
      </c>
      <c r="C72" s="320" t="s">
        <v>243</v>
      </c>
      <c r="D72" s="321">
        <f t="array" ref="D72">IF(ISERROR(MATCH(1, (표6[사용자] = '성장 시뮬레이터'!$B$1) * (표6[명장] = A72), 0)), "", INDEX(표6[무력단], MATCH(1, (표6[사용자] = '성장 시뮬레이터'!$B$1) * (표6[명장] = A72), 0)))</f>
        <v>0</v>
      </c>
      <c r="E72" s="321">
        <f t="array" ref="E72">IFERROR(INDEX(표6[지력단], MATCH(1, (표6[사용자] = '성장 시뮬레이터'!$B$1) * (표6[명장] = A72), 0)),"")</f>
        <v>0</v>
      </c>
      <c r="F72" s="322">
        <f>G72+H72</f>
        <v>155</v>
      </c>
      <c r="G72" s="323">
        <v>111</v>
      </c>
      <c r="H72" s="323">
        <v>44</v>
      </c>
      <c r="I72" s="323">
        <v>102</v>
      </c>
      <c r="J72" s="323">
        <v>128</v>
      </c>
      <c r="K72" s="323">
        <v>24</v>
      </c>
      <c r="L72" s="323">
        <v>41</v>
      </c>
      <c r="M72" s="323">
        <v>28</v>
      </c>
      <c r="N72" s="323">
        <v>9</v>
      </c>
      <c r="O72" s="323">
        <v>7</v>
      </c>
      <c r="P72" s="323">
        <v>4</v>
      </c>
      <c r="Q72" s="323">
        <v>12</v>
      </c>
      <c r="R72" s="323">
        <v>8</v>
      </c>
      <c r="S72" s="323">
        <v>12</v>
      </c>
      <c r="T72" s="323">
        <v>11</v>
      </c>
    </row>
    <row r="73" spans="1:20" x14ac:dyDescent="0.3">
      <c r="A73" s="320" t="s">
        <v>607</v>
      </c>
      <c r="B73" s="320" t="s">
        <v>555</v>
      </c>
      <c r="C73" s="320" t="s">
        <v>641</v>
      </c>
      <c r="D73" s="321">
        <f t="array" ref="D73">IF(ISERROR(MATCH(1, (표6[사용자] = '성장 시뮬레이터'!$B$1) * (표6[명장] = A73), 0)), "", INDEX(표6[무력단], MATCH(1, (표6[사용자] = '성장 시뮬레이터'!$B$1) * (표6[명장] = A73), 0)))</f>
        <v>0</v>
      </c>
      <c r="E73" s="321">
        <f t="array" ref="E73">IFERROR(INDEX(표6[지력단], MATCH(1, (표6[사용자] = '성장 시뮬레이터'!$B$1) * (표6[명장] = A73), 0)),"")</f>
        <v>0</v>
      </c>
      <c r="F73" s="322">
        <f>G73+H73</f>
        <v>193</v>
      </c>
      <c r="G73" s="323">
        <v>113</v>
      </c>
      <c r="H73" s="323">
        <v>80</v>
      </c>
      <c r="I73" s="323">
        <v>116</v>
      </c>
      <c r="J73" s="323">
        <v>129</v>
      </c>
      <c r="K73" s="323">
        <v>28</v>
      </c>
      <c r="L73" s="323">
        <v>46</v>
      </c>
      <c r="M73" s="323">
        <v>38</v>
      </c>
      <c r="N73" s="323">
        <v>9</v>
      </c>
      <c r="O73" s="323">
        <v>7</v>
      </c>
      <c r="P73" s="323">
        <v>5</v>
      </c>
      <c r="Q73" s="323">
        <v>12</v>
      </c>
      <c r="R73" s="323">
        <v>11</v>
      </c>
      <c r="S73" s="323">
        <v>12</v>
      </c>
      <c r="T73" s="323">
        <v>11</v>
      </c>
    </row>
    <row r="74" spans="1:20" x14ac:dyDescent="0.3">
      <c r="A74" s="320" t="s">
        <v>593</v>
      </c>
      <c r="B74" s="320" t="s">
        <v>555</v>
      </c>
      <c r="C74" s="320" t="s">
        <v>640</v>
      </c>
      <c r="D74" s="321">
        <f t="array" ref="D74">IF(ISERROR(MATCH(1, (표6[사용자] = '성장 시뮬레이터'!$B$1) * (표6[명장] = A74), 0)), "", INDEX(표6[무력단], MATCH(1, (표6[사용자] = '성장 시뮬레이터'!$B$1) * (표6[명장] = A74), 0)))</f>
        <v>0</v>
      </c>
      <c r="E74" s="321">
        <f t="array" ref="E74">IFERROR(INDEX(표6[지력단], MATCH(1, (표6[사용자] = '성장 시뮬레이터'!$B$1) * (표6[명장] = A74), 0)),"")</f>
        <v>0</v>
      </c>
      <c r="F74" s="322">
        <f>G74+H74</f>
        <v>139</v>
      </c>
      <c r="G74" s="323">
        <v>38</v>
      </c>
      <c r="H74" s="323">
        <v>101</v>
      </c>
      <c r="I74" s="323">
        <v>97</v>
      </c>
      <c r="J74" s="323">
        <v>106</v>
      </c>
      <c r="K74" s="323">
        <v>20</v>
      </c>
      <c r="L74" s="323">
        <v>11</v>
      </c>
      <c r="M74" s="323">
        <v>12</v>
      </c>
      <c r="N74" s="323">
        <v>6</v>
      </c>
      <c r="O74" s="323">
        <v>13</v>
      </c>
      <c r="P74" s="323">
        <v>9</v>
      </c>
      <c r="Q74" s="323">
        <v>0</v>
      </c>
      <c r="R74" s="323">
        <v>6</v>
      </c>
      <c r="S74" s="323">
        <v>0</v>
      </c>
      <c r="T74" s="323">
        <v>0</v>
      </c>
    </row>
    <row r="75" spans="1:20" x14ac:dyDescent="0.3">
      <c r="A75" s="320" t="s">
        <v>629</v>
      </c>
      <c r="B75" s="320" t="s">
        <v>555</v>
      </c>
      <c r="C75" s="320" t="s">
        <v>238</v>
      </c>
      <c r="D75" s="321">
        <f t="array" ref="D75">IF(ISERROR(MATCH(1, (표6[사용자] = '성장 시뮬레이터'!$B$1) * (표6[명장] = A75), 0)), "", INDEX(표6[무력단], MATCH(1, (표6[사용자] = '성장 시뮬레이터'!$B$1) * (표6[명장] = A75), 0)))</f>
        <v>0</v>
      </c>
      <c r="E75" s="321">
        <f t="array" ref="E75">IFERROR(INDEX(표6[지력단], MATCH(1, (표6[사용자] = '성장 시뮬레이터'!$B$1) * (표6[명장] = A75), 0)),"")</f>
        <v>0</v>
      </c>
      <c r="F75" s="322">
        <f>G75+H75</f>
        <v>202</v>
      </c>
      <c r="G75" s="323">
        <v>110</v>
      </c>
      <c r="H75" s="323">
        <v>92</v>
      </c>
      <c r="I75" s="323">
        <v>117</v>
      </c>
      <c r="J75" s="323">
        <v>132</v>
      </c>
      <c r="K75" s="323">
        <v>34</v>
      </c>
      <c r="L75" s="323">
        <v>45</v>
      </c>
      <c r="M75" s="323">
        <v>39</v>
      </c>
      <c r="N75" s="323">
        <v>9</v>
      </c>
      <c r="O75" s="323">
        <v>11</v>
      </c>
      <c r="P75" s="323">
        <v>10</v>
      </c>
      <c r="Q75" s="323">
        <v>11</v>
      </c>
      <c r="R75" s="323">
        <v>14</v>
      </c>
      <c r="S75" s="323">
        <v>13</v>
      </c>
      <c r="T75" s="323">
        <v>11</v>
      </c>
    </row>
    <row r="76" spans="1:20" x14ac:dyDescent="0.3">
      <c r="A76" s="320" t="s">
        <v>606</v>
      </c>
      <c r="B76" s="320" t="s">
        <v>571</v>
      </c>
      <c r="C76" s="320" t="s">
        <v>547</v>
      </c>
      <c r="D76" s="321">
        <f t="array" ref="D76">IF(ISERROR(MATCH(1, (표6[사용자] = '성장 시뮬레이터'!$B$1) * (표6[명장] = A76), 0)), "", INDEX(표6[무력단], MATCH(1, (표6[사용자] = '성장 시뮬레이터'!$B$1) * (표6[명장] = A76), 0)))</f>
        <v>0</v>
      </c>
      <c r="E76" s="321">
        <f t="array" ref="E76">IFERROR(INDEX(표6[지력단], MATCH(1, (표6[사용자] = '성장 시뮬레이터'!$B$1) * (표6[명장] = A76), 0)),"")</f>
        <v>0</v>
      </c>
      <c r="F76" s="322">
        <f>G76+H76</f>
        <v>191</v>
      </c>
      <c r="G76" s="323">
        <v>83</v>
      </c>
      <c r="H76" s="323">
        <v>108</v>
      </c>
      <c r="I76" s="323">
        <v>109</v>
      </c>
      <c r="J76" s="323">
        <v>110</v>
      </c>
      <c r="K76" s="323">
        <v>37</v>
      </c>
      <c r="L76" s="323">
        <v>29</v>
      </c>
      <c r="M76" s="323">
        <v>34</v>
      </c>
      <c r="N76" s="323">
        <v>8</v>
      </c>
      <c r="O76" s="323">
        <v>12</v>
      </c>
      <c r="P76" s="323">
        <v>14</v>
      </c>
      <c r="Q76" s="323">
        <v>3</v>
      </c>
      <c r="R76" s="323">
        <v>10</v>
      </c>
      <c r="S76" s="323">
        <v>6</v>
      </c>
      <c r="T76" s="323">
        <v>5</v>
      </c>
    </row>
    <row r="77" spans="1:20" x14ac:dyDescent="0.3">
      <c r="A77" s="320" t="s">
        <v>600</v>
      </c>
      <c r="B77" s="320" t="s">
        <v>555</v>
      </c>
      <c r="C77" s="320" t="s">
        <v>547</v>
      </c>
      <c r="D77" s="321">
        <f t="array" ref="D77">IF(ISERROR(MATCH(1, (표6[사용자] = '성장 시뮬레이터'!$B$1) * (표6[명장] = A77), 0)), "", INDEX(표6[무력단], MATCH(1, (표6[사용자] = '성장 시뮬레이터'!$B$1) * (표6[명장] = A77), 0)))</f>
        <v>0</v>
      </c>
      <c r="E77" s="321">
        <f t="array" ref="E77">IFERROR(INDEX(표6[지력단], MATCH(1, (표6[사용자] = '성장 시뮬레이터'!$B$1) * (표6[명장] = A77), 0)),"")</f>
        <v>0</v>
      </c>
      <c r="F77" s="322">
        <f>G77+H77</f>
        <v>189</v>
      </c>
      <c r="G77" s="323">
        <v>114</v>
      </c>
      <c r="H77" s="323">
        <v>75</v>
      </c>
      <c r="I77" s="323">
        <v>113</v>
      </c>
      <c r="J77" s="323">
        <v>128</v>
      </c>
      <c r="K77" s="323">
        <v>28</v>
      </c>
      <c r="L77" s="323">
        <v>46</v>
      </c>
      <c r="M77" s="323">
        <v>40</v>
      </c>
      <c r="N77" s="323">
        <v>10</v>
      </c>
      <c r="O77" s="323">
        <v>7</v>
      </c>
      <c r="P77" s="323">
        <v>5</v>
      </c>
      <c r="Q77" s="323">
        <v>12</v>
      </c>
      <c r="R77" s="323">
        <v>11</v>
      </c>
      <c r="S77" s="323">
        <v>12</v>
      </c>
      <c r="T77" s="323">
        <v>11</v>
      </c>
    </row>
    <row r="78" spans="1:20" x14ac:dyDescent="0.3">
      <c r="B78" s="90"/>
      <c r="C78" s="90"/>
      <c r="D78" s="225"/>
      <c r="E78" s="225"/>
      <c r="F78" s="93"/>
      <c r="G78" s="93"/>
    </row>
    <row r="79" spans="1:20" x14ac:dyDescent="0.3">
      <c r="O79" s="93"/>
    </row>
    <row r="80" spans="1:20" x14ac:dyDescent="0.3">
      <c r="O80" s="93"/>
    </row>
    <row r="81" spans="15:15" x14ac:dyDescent="0.3">
      <c r="O81" s="93"/>
    </row>
    <row r="82" spans="15:15" x14ac:dyDescent="0.3">
      <c r="O82" s="93"/>
    </row>
    <row r="138" spans="1:5" x14ac:dyDescent="0.3">
      <c r="A138" s="93"/>
    </row>
    <row r="139" spans="1:5" x14ac:dyDescent="0.3">
      <c r="A139" s="93"/>
    </row>
    <row r="142" spans="1:5" x14ac:dyDescent="0.3">
      <c r="B142" s="94"/>
      <c r="C142" s="94"/>
      <c r="D142" s="226"/>
      <c r="E142" s="226"/>
    </row>
    <row r="143" spans="1:5" x14ac:dyDescent="0.3">
      <c r="B143" s="95"/>
      <c r="C143" s="95"/>
      <c r="D143" s="227"/>
      <c r="E143" s="227"/>
    </row>
  </sheetData>
  <sortState xmlns:xlrd2="http://schemas.microsoft.com/office/spreadsheetml/2017/richdata2" ref="A9:T77">
    <sortCondition ref="A8"/>
  </sortState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3" name="Button 9">
              <controlPr defaultSize="0" print="0" autoFill="0" autoPict="0" macro="[0]!AutoCalculateStats">
                <anchor moveWithCells="1" sizeWithCells="1">
                  <from>
                    <xdr:col>20</xdr:col>
                    <xdr:colOff>304800</xdr:colOff>
                    <xdr:row>0</xdr:row>
                    <xdr:rowOff>171450</xdr:rowOff>
                  </from>
                  <to>
                    <xdr:col>84</xdr:col>
                    <xdr:colOff>123825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FilterAndHighlight_Power_94">
                <anchor moveWithCells="1" sizeWithCells="1">
                  <from>
                    <xdr:col>6</xdr:col>
                    <xdr:colOff>28575</xdr:colOff>
                    <xdr:row>1</xdr:row>
                    <xdr:rowOff>161925</xdr:rowOff>
                  </from>
                  <to>
                    <xdr:col>7</xdr:col>
                    <xdr:colOff>142875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5" name="Button 11">
              <controlPr defaultSize="0" print="0" autoFill="0" autoPict="0" macro="[0]!FilterAndHighlight_Intel_94">
                <anchor moveWithCells="1" sizeWithCells="1">
                  <from>
                    <xdr:col>7</xdr:col>
                    <xdr:colOff>381000</xdr:colOff>
                    <xdr:row>1</xdr:row>
                    <xdr:rowOff>161925</xdr:rowOff>
                  </from>
                  <to>
                    <xdr:col>8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Button 12">
              <controlPr defaultSize="0" print="0" autoFill="0" autoPict="0" macro="[0]!FilterAndHighlight_Power_103">
                <anchor moveWithCells="1" sizeWithCells="1">
                  <from>
                    <xdr:col>6</xdr:col>
                    <xdr:colOff>28575</xdr:colOff>
                    <xdr:row>4</xdr:row>
                    <xdr:rowOff>9525</xdr:rowOff>
                  </from>
                  <to>
                    <xdr:col>7</xdr:col>
                    <xdr:colOff>142875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7" name="Button 13">
              <controlPr defaultSize="0" print="0" autoFill="0" autoPict="0" macro="[0]!FilterAndHighlight_Intel_103">
                <anchor moveWithCells="1" sizeWithCells="1">
                  <from>
                    <xdr:col>7</xdr:col>
                    <xdr:colOff>381000</xdr:colOff>
                    <xdr:row>4</xdr:row>
                    <xdr:rowOff>9525</xdr:rowOff>
                  </from>
                  <to>
                    <xdr:col>8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8" name="Button 14">
              <controlPr defaultSize="0" print="0" autoFill="0" autoPict="0" macro="[0]!ResetFilterAndColor">
                <anchor moveWithCells="1" sizeWithCells="1">
                  <from>
                    <xdr:col>4</xdr:col>
                    <xdr:colOff>552450</xdr:colOff>
                    <xdr:row>1</xdr:row>
                    <xdr:rowOff>161925</xdr:rowOff>
                  </from>
                  <to>
                    <xdr:col>5</xdr:col>
                    <xdr:colOff>771525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9" name="Button 15">
              <controlPr defaultSize="0" print="0" autoFill="0" autoPict="0" macro="[0]!SortBySpecialItems">
                <anchor moveWithCells="1" sizeWithCells="1">
                  <from>
                    <xdr:col>3</xdr:col>
                    <xdr:colOff>104775</xdr:colOff>
                    <xdr:row>1</xdr:row>
                    <xdr:rowOff>161925</xdr:rowOff>
                  </from>
                  <to>
                    <xdr:col>4</xdr:col>
                    <xdr:colOff>314325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BB132"/>
  <sheetViews>
    <sheetView zoomScale="85" zoomScaleNormal="85" workbookViewId="0">
      <pane ySplit="2" topLeftCell="A3" activePane="bottomLeft" state="frozen"/>
      <selection pane="bottomLeft"/>
    </sheetView>
  </sheetViews>
  <sheetFormatPr defaultRowHeight="16.5" x14ac:dyDescent="0.3"/>
  <cols>
    <col min="1" max="4" width="9" style="4"/>
    <col min="5" max="5" width="11.375" style="4" customWidth="1"/>
    <col min="6" max="6" width="14.125" style="4" customWidth="1"/>
    <col min="7" max="7" width="9" style="4"/>
    <col min="8" max="26" width="9" style="4" customWidth="1"/>
    <col min="27" max="27" width="23.375" style="4" customWidth="1"/>
    <col min="28" max="31" width="9" style="4" customWidth="1"/>
    <col min="32" max="32" width="23" style="4" customWidth="1"/>
    <col min="33" max="43" width="9" style="4" customWidth="1"/>
    <col min="44" max="44" width="9" style="90" customWidth="1"/>
    <col min="45" max="54" width="9" style="4" customWidth="1"/>
    <col min="55" max="16384" width="9" style="4"/>
  </cols>
  <sheetData>
    <row r="1" spans="1:54" x14ac:dyDescent="0.3">
      <c r="A1" s="138" t="s">
        <v>683</v>
      </c>
      <c r="G1" s="178" t="s">
        <v>761</v>
      </c>
      <c r="H1" s="178"/>
      <c r="I1" s="178"/>
      <c r="J1" s="178"/>
      <c r="K1" s="178"/>
      <c r="L1" s="178"/>
      <c r="AH1" s="315" t="s">
        <v>644</v>
      </c>
      <c r="AI1" s="315"/>
      <c r="AJ1" s="315"/>
      <c r="AK1" s="315"/>
      <c r="AL1" s="315"/>
      <c r="AM1" s="315"/>
      <c r="AN1" s="315"/>
      <c r="AO1" s="315"/>
      <c r="AP1" s="315"/>
      <c r="AQ1" s="315"/>
      <c r="AR1" s="103" t="s">
        <v>646</v>
      </c>
      <c r="AS1" s="314" t="s">
        <v>669</v>
      </c>
      <c r="AT1" s="314"/>
      <c r="AU1" s="314"/>
      <c r="AV1" s="314"/>
      <c r="AW1" s="314"/>
      <c r="AX1" s="314"/>
      <c r="AY1" s="314"/>
      <c r="AZ1" s="314"/>
      <c r="BA1" s="314"/>
      <c r="BB1" s="314"/>
    </row>
    <row r="2" spans="1:54" x14ac:dyDescent="0.3">
      <c r="A2" s="1" t="s">
        <v>0</v>
      </c>
      <c r="B2" s="2" t="s">
        <v>1</v>
      </c>
      <c r="C2" s="2" t="s">
        <v>785</v>
      </c>
      <c r="D2" s="2" t="s">
        <v>2</v>
      </c>
      <c r="E2" s="2" t="s">
        <v>156</v>
      </c>
      <c r="F2" s="2" t="s">
        <v>3</v>
      </c>
      <c r="G2" s="2" t="s">
        <v>4</v>
      </c>
      <c r="H2" s="2" t="s">
        <v>172</v>
      </c>
      <c r="I2" s="2" t="s">
        <v>662</v>
      </c>
      <c r="J2" s="2" t="s">
        <v>178</v>
      </c>
      <c r="K2" s="2" t="s">
        <v>659</v>
      </c>
      <c r="L2" s="2" t="s">
        <v>660</v>
      </c>
      <c r="M2" s="2" t="s">
        <v>666</v>
      </c>
      <c r="N2" s="2" t="s">
        <v>671</v>
      </c>
      <c r="O2" s="2" t="s">
        <v>673</v>
      </c>
      <c r="P2" s="2" t="s">
        <v>906</v>
      </c>
      <c r="Q2" s="2" t="s">
        <v>147</v>
      </c>
      <c r="R2" s="2" t="s">
        <v>157</v>
      </c>
      <c r="S2" s="2" t="s">
        <v>159</v>
      </c>
      <c r="T2" s="2" t="s">
        <v>160</v>
      </c>
      <c r="U2" s="2" t="s">
        <v>161</v>
      </c>
      <c r="V2" s="2" t="s">
        <v>162</v>
      </c>
      <c r="W2" s="2" t="s">
        <v>163</v>
      </c>
      <c r="X2" s="2" t="s">
        <v>164</v>
      </c>
      <c r="Y2" s="2" t="s">
        <v>165</v>
      </c>
      <c r="Z2" s="2" t="s">
        <v>166</v>
      </c>
      <c r="AA2" s="3" t="s">
        <v>5</v>
      </c>
      <c r="AB2" s="3" t="s">
        <v>6</v>
      </c>
      <c r="AC2" s="3" t="s">
        <v>7</v>
      </c>
      <c r="AD2" s="3" t="s">
        <v>8</v>
      </c>
      <c r="AE2" s="3" t="s">
        <v>9</v>
      </c>
      <c r="AF2" s="3" t="s">
        <v>10</v>
      </c>
      <c r="AH2" s="2" t="s">
        <v>158</v>
      </c>
      <c r="AI2" s="2" t="s">
        <v>157</v>
      </c>
      <c r="AJ2" s="2" t="s">
        <v>159</v>
      </c>
      <c r="AK2" s="2" t="s">
        <v>160</v>
      </c>
      <c r="AL2" s="2" t="s">
        <v>161</v>
      </c>
      <c r="AM2" s="2" t="s">
        <v>162</v>
      </c>
      <c r="AN2" s="2" t="s">
        <v>163</v>
      </c>
      <c r="AO2" s="2" t="s">
        <v>164</v>
      </c>
      <c r="AP2" s="2" t="s">
        <v>165</v>
      </c>
      <c r="AQ2" s="2" t="s">
        <v>166</v>
      </c>
      <c r="AR2" s="103" t="s">
        <v>645</v>
      </c>
      <c r="AS2" s="2" t="s">
        <v>158</v>
      </c>
      <c r="AT2" s="2" t="s">
        <v>157</v>
      </c>
      <c r="AU2" s="2" t="s">
        <v>159</v>
      </c>
      <c r="AV2" s="2" t="s">
        <v>160</v>
      </c>
      <c r="AW2" s="2" t="s">
        <v>161</v>
      </c>
      <c r="AX2" s="2" t="s">
        <v>162</v>
      </c>
      <c r="AY2" s="2" t="s">
        <v>163</v>
      </c>
      <c r="AZ2" s="2" t="s">
        <v>164</v>
      </c>
      <c r="BA2" s="2" t="s">
        <v>165</v>
      </c>
      <c r="BB2" s="2" t="s">
        <v>166</v>
      </c>
    </row>
    <row r="3" spans="1:54" x14ac:dyDescent="0.3">
      <c r="A3" s="5" t="s">
        <v>11</v>
      </c>
      <c r="B3" s="6" t="s">
        <v>12</v>
      </c>
      <c r="C3" s="203" t="s">
        <v>799</v>
      </c>
      <c r="D3" s="7" t="s">
        <v>13</v>
      </c>
      <c r="E3" s="7">
        <f t="array" ref="E3">INDEX(표1[내 책 등급], MATCH(1, (표1[사용자] ='성장 시뮬레이터'!$B$1) * (표1[책이름] = D3), 0))</f>
        <v>10</v>
      </c>
      <c r="F3" s="6" t="s">
        <v>14</v>
      </c>
      <c r="G3" s="142">
        <v>104</v>
      </c>
      <c r="H3" s="8" t="str">
        <f>IF(ISNUMBER(SEARCH("여", F3)), IF('성장 시뮬레이터'!$C$9=2, "O", "X"), "O")</f>
        <v>O</v>
      </c>
      <c r="I3" s="8" t="str">
        <f>IF(OR(ISNUMBER(SEARCH("위나라", F3)), ISNUMBER(SEARCH("촉나라", F3)), ISNUMBER(SEARCH("오나라", F3)), ISNUMBER(SEARCH("군웅", F3))), IF(ISNUMBER(SEARCH('성장 시뮬레이터'!$C$10, F3)), "O", "X"), "O")</f>
        <v>O</v>
      </c>
      <c r="J3" s="8" t="str">
        <f>IF(
    AND(
        H3="O",
        I3="O",
        IF(ISNUMBER(SEARCH("무력+지력", F3)), ('성장 시뮬레이터'!$G$5+'성장 시뮬레이터'!$G$6) &gt;= G3,
           IF(ISNUMBER(SEARCH("무력", F3)), '성장 시뮬레이터'!$G$5 &gt;= G3,
           IF(ISNUMBER(SEARCH("지력", F3)), '성장 시뮬레이터'!$G$6 &gt;= G3,
           IF(ISNUMBER(SEARCH("내력", F3)), '성장 시뮬레이터'!$G$7 &gt;= G3,
           IF(ISNUMBER(SEARCH("체력", F3)), '성장 시뮬레이터'!$G$8 &gt;= G3, FALSE)))))
    ), "O", "X")</f>
        <v>X</v>
      </c>
      <c r="K3" s="106" t="str">
        <f>IF(
    AND(
        H3="O",
        I3="O",
        IF(ISNUMBER(SEARCH("무력+지력", F3)), ('성장 시뮬레이터'!$I$5+'성장 시뮬레이터'!$I$6) &gt;= G3,
           IF(ISNUMBER(SEARCH("무력", F3)), '성장 시뮬레이터'!$I$5 &gt;= G3,
           IF(ISNUMBER(SEARCH("지력", F3)), '성장 시뮬레이터'!$I$6 &gt;= G3,
           IF(ISNUMBER(SEARCH("내력", F3)), '성장 시뮬레이터'!$I$7 &gt;= G3,
           IF(ISNUMBER(SEARCH("체력", F3)), '성장 시뮬레이터'!$I$8 &gt;= G3, FALSE)))))
    ), "O", "X")</f>
        <v>O</v>
      </c>
      <c r="L3" s="106" t="str">
        <f>IF(
    AND(
        H3="O",
        I3="O",
        IF(ISNUMBER(SEARCH("무력+지력", F3)), ('성장 시뮬레이터'!$K$5+'성장 시뮬레이터'!$K$6) &gt;= G3,
           IF(ISNUMBER(SEARCH("무력", F3)), '성장 시뮬레이터'!$K$5 &gt;= G3,
           IF(ISNUMBER(SEARCH("지력", F3)), '성장 시뮬레이터'!$K$6 &gt;= G3,
           IF(ISNUMBER(SEARCH("내력", F3)), '성장 시뮬레이터'!$K$7 &gt;= G3,
           IF(ISNUMBER(SEARCH("체력", F3)), '성장 시뮬레이터'!$K$8 &gt;= G3, FALSE)))))
    ), "O", "X")</f>
        <v>O</v>
      </c>
      <c r="M3" s="106" t="str">
        <f>IF(
    AND(
        H3="O",
        I3="O",
        IF(ISNUMBER(SEARCH("무력+지력", F3)), ('성장 시뮬레이터'!$M$5+'성장 시뮬레이터'!$M$6) &gt;= G3,
           IF(ISNUMBER(SEARCH("무력", F3)), '성장 시뮬레이터'!$M$5 &gt;= G3,
           IF(ISNUMBER(SEARCH("지력", F3)), '성장 시뮬레이터'!$M$6 &gt;= G3,
           IF(ISNUMBER(SEARCH("내력", F3)), '성장 시뮬레이터'!$M$7 &gt;= G3,
           IF(ISNUMBER(SEARCH("체력", F3)), '성장 시뮬레이터'!$M$8 &gt;= G3, FALSE)))))
    ), "O", "X")</f>
        <v>O</v>
      </c>
      <c r="N3" s="106" t="str">
        <f>IF(
    AND(
        H3="O",
        I3="O",
        IF(ISNUMBER(SEARCH("무력+지력", F3)), ('성장 시뮬레이터'!$O$5+'성장 시뮬레이터'!$O$6) &gt;= G3,
           IF(ISNUMBER(SEARCH("무력", F3)), '성장 시뮬레이터'!$O$5 &gt;= G3,
           IF(ISNUMBER(SEARCH("지력", F3)), '성장 시뮬레이터'!$O$6 &gt;= G3,
           IF(ISNUMBER(SEARCH("내력", F3)), '성장 시뮬레이터'!$O$7 &gt;= G3,
           IF(ISNUMBER(SEARCH("체력", F3)), '성장 시뮬레이터'!$O$8 &gt;= G3, FALSE)))))
    ), "O", "X")</f>
        <v>O</v>
      </c>
      <c r="O3" s="106" t="str">
        <f>IF(
    AND(
        H3="O",
        I3="O",
        IF(ISNUMBER(SEARCH("무력+지력", F3)), ('성장 시뮬레이터'!$Q$5+'성장 시뮬레이터'!$Q$6) &gt;= G3,
           IF(ISNUMBER(SEARCH("무력", F3)), '성장 시뮬레이터'!$Q$5 &gt;= G3,
           IF(ISNUMBER(SEARCH("지력", F3)), '성장 시뮬레이터'!$Q$6 &gt;= G3,
           IF(ISNUMBER(SEARCH("내력", F3)), '성장 시뮬레이터'!$Q$7 &gt;= G3,
           IF(ISNUMBER(SEARCH("체력", F3)), '성장 시뮬레이터'!$Q$8 &gt;= G3, FALSE)))))
    ), "O", "X")</f>
        <v>O</v>
      </c>
      <c r="P3" s="106" t="s">
        <v>904</v>
      </c>
      <c r="Q3" s="142">
        <f t="shared" ref="Q3:Q35" si="0">IF(OR($E3=0, AH3=""), "", CHOOSE(IF($E3=10, 1, IF($E3=4, 2, 3)), AS3+AH3*5, AH3, ($E3-4)*AH3))</f>
        <v>195</v>
      </c>
      <c r="R3" s="142">
        <f t="shared" ref="R3:R35" si="1">IF(OR($E3=0, AI3=""), "", CHOOSE(IF($E3=10, 1, IF($E3=4, 2, 3)), AT3+AI3*5, AI3, ($E3-4)*AI3))</f>
        <v>260</v>
      </c>
      <c r="S3" s="142" t="str">
        <f t="shared" ref="S3:S35" si="2">IF(OR($E3=0, AJ3=""), "", CHOOSE(IF($E3=10, 1, IF($E3=4, 2, 3)), AU3+AJ3*5, AJ3, ($E3-4)*AJ3))</f>
        <v/>
      </c>
      <c r="T3" s="142" t="str">
        <f t="shared" ref="T3:T35" si="3">IF(OR($E3=0, AK3=""), "", CHOOSE(IF($E3=10, 1, IF($E3=4, 2, 3)), AV3+AK3*5, AK3, ($E3-4)*AK3))</f>
        <v/>
      </c>
      <c r="U3" s="142" t="str">
        <f t="shared" ref="U3:U35" si="4">IF(OR($E3=0, AL3=""), "", CHOOSE(IF($E3=10, 1, IF($E3=4, 2, 3)), AW3+AL3*5, AL3, ($E3-4)*AL3))</f>
        <v/>
      </c>
      <c r="V3" s="142" t="str">
        <f t="shared" ref="V3:V35" si="5">IF(OR($E3=0, AM3=""), "", CHOOSE(IF($E3=10, 1, IF($E3=4, 2, 3)), AX3+AM3*5, AM3, ($E3-4)*AM3))</f>
        <v/>
      </c>
      <c r="W3" s="142" t="str">
        <f t="shared" ref="W3:W35" si="6">IF(OR($E3=0, AN3=""), "", CHOOSE(IF($E3=10, 1, IF($E3=4, 2, 3)), AY3+AN3*5, AN3, ($E3-4)*AN3))</f>
        <v/>
      </c>
      <c r="X3" s="142" t="str">
        <f t="shared" ref="X3:X35" si="7">IF(OR($E3=0, AO3=""), "", CHOOSE(IF($E3=10, 1, IF($E3=4, 2, 3)), AZ3+AO3*5, AO3, ($E3-4)*AO3))</f>
        <v/>
      </c>
      <c r="Y3" s="142" t="str">
        <f t="shared" ref="Y3:Y35" si="8">IF(OR($E3=0, AP3=""), "", CHOOSE(IF($E3=10, 1, IF($E3=4, 2, 3)), BA3+AP3*5, AP3, ($E3-4)*AP3))</f>
        <v/>
      </c>
      <c r="Z3" s="142" t="str">
        <f t="shared" ref="Z3:Z35" si="9">IF(OR($E3=0, AQ3=""), "", CHOOSE(IF($E3=10, 1, IF($E3=4, 2, 3)), BB3+AQ3*5, AQ3, ($E3-4)*AQ3))</f>
        <v/>
      </c>
      <c r="AA3" s="9" t="s">
        <v>15</v>
      </c>
      <c r="AB3" s="9"/>
      <c r="AC3" s="9"/>
      <c r="AD3" s="9"/>
      <c r="AE3" s="10"/>
      <c r="AF3" s="143" t="s">
        <v>16</v>
      </c>
      <c r="AH3" s="8">
        <v>30</v>
      </c>
      <c r="AI3" s="8">
        <v>40</v>
      </c>
      <c r="AJ3" s="8"/>
      <c r="AK3" s="8"/>
      <c r="AL3" s="8"/>
      <c r="AM3" s="8"/>
      <c r="AN3" s="8"/>
      <c r="AO3" s="8"/>
      <c r="AP3" s="8"/>
      <c r="AQ3" s="8"/>
      <c r="AR3" s="103">
        <v>1.5</v>
      </c>
      <c r="AS3" s="8">
        <f>IF(OR(표1_3[[#This Row],[등급]]="명서",(표1_3[[#This Row],[등급]]="고급")),IF(AH3="","",AH3*$AR3),"")</f>
        <v>45</v>
      </c>
      <c r="AT3" s="8">
        <f>IF(OR(표1_3[[#This Row],[등급]]="명서",(표1_3[[#This Row],[등급]]="고급")),IF(AI3="","",AI3*$AR3),"")</f>
        <v>60</v>
      </c>
      <c r="AU3" s="8" t="str">
        <f>IF(OR(표1_3[[#This Row],[등급]]="명서",(표1_3[[#This Row],[등급]]="고급")),IF(AJ3="","",AJ3*$AR3),"")</f>
        <v/>
      </c>
      <c r="AV3" s="8" t="str">
        <f>IF(OR(표1_3[[#This Row],[등급]]="명서",(표1_3[[#This Row],[등급]]="고급")),IF(AK3="","",AK3*$AR3),"")</f>
        <v/>
      </c>
      <c r="AW3" s="8" t="str">
        <f>IF(OR(표1_3[[#This Row],[등급]]="명서",(표1_3[[#This Row],[등급]]="고급")),IF(AL3="","",AL3*$AR3),"")</f>
        <v/>
      </c>
      <c r="AX3" s="8" t="str">
        <f>IF(OR(표1_3[[#This Row],[등급]]="명서",(표1_3[[#This Row],[등급]]="고급")),IF(AM3="","",AM3*$AR3),"")</f>
        <v/>
      </c>
      <c r="AY3" s="8" t="str">
        <f>IF(OR(표1_3[[#This Row],[등급]]="명서",(표1_3[[#This Row],[등급]]="고급")),IF(AN3="","",AN3*$AR3),"")</f>
        <v/>
      </c>
      <c r="AZ3" s="8" t="str">
        <f>IF(OR(표1_3[[#This Row],[등급]]="명서",(표1_3[[#This Row],[등급]]="고급")),IF(AO3="","",AO3*$AR3),"")</f>
        <v/>
      </c>
      <c r="BA3" s="8" t="str">
        <f>IF(OR(표1_3[[#This Row],[등급]]="명서",(표1_3[[#This Row],[등급]]="고급")),IF(AP3="","",AP3*$AR3),"")</f>
        <v/>
      </c>
      <c r="BB3" s="8" t="str">
        <f>IF(OR(표1_3[[#This Row],[등급]]="명서",(표1_3[[#This Row],[등급]]="고급")),IF(AQ3="","",AQ3*$AR3),"")</f>
        <v/>
      </c>
    </row>
    <row r="4" spans="1:54" x14ac:dyDescent="0.3">
      <c r="A4" s="5" t="s">
        <v>11</v>
      </c>
      <c r="B4" s="6" t="s">
        <v>12</v>
      </c>
      <c r="C4" s="203" t="s">
        <v>799</v>
      </c>
      <c r="D4" s="7" t="s">
        <v>17</v>
      </c>
      <c r="E4" s="7">
        <f t="array" ref="E4">INDEX(표1[내 책 등급], MATCH(1, (표1[사용자] ='성장 시뮬레이터'!$B$1) * (표1[책이름] = D4), 0))</f>
        <v>10</v>
      </c>
      <c r="F4" s="6" t="s">
        <v>18</v>
      </c>
      <c r="G4" s="142">
        <v>170</v>
      </c>
      <c r="H4" s="8" t="str">
        <f>IF(ISNUMBER(SEARCH("여", F4)), IF('성장 시뮬레이터'!$C$9=2, "O", "X"), "O")</f>
        <v>O</v>
      </c>
      <c r="I4" s="8" t="str">
        <f>IF(OR(ISNUMBER(SEARCH("위나라", F4)), ISNUMBER(SEARCH("촉나라", F4)), ISNUMBER(SEARCH("오나라", F4)), ISNUMBER(SEARCH("군웅", F4))), IF(ISNUMBER(SEARCH('성장 시뮬레이터'!$C$10, F4)), "O", "X"), "O")</f>
        <v>O</v>
      </c>
      <c r="J4" s="8" t="str">
        <f>IF(
    AND(
        H4="O",
        I4="O",
        IF(ISNUMBER(SEARCH("무력+지력", F4)), ('성장 시뮬레이터'!$G$5+'성장 시뮬레이터'!$G$6) &gt;= G4,
           IF(ISNUMBER(SEARCH("무력", F4)), '성장 시뮬레이터'!$G$5 &gt;= G4,
           IF(ISNUMBER(SEARCH("지력", F4)), '성장 시뮬레이터'!$G$6 &gt;= G4,
           IF(ISNUMBER(SEARCH("내력", F4)), '성장 시뮬레이터'!$G$7 &gt;= G4,
           IF(ISNUMBER(SEARCH("체력", F4)), '성장 시뮬레이터'!$G$8 &gt;= G4, FALSE)))))
    ), "O", "X")</f>
        <v>O</v>
      </c>
      <c r="K4" s="106" t="str">
        <f>IF(
    AND(
        H4="O",
        I4="O",
        IF(ISNUMBER(SEARCH("무력+지력", F4)), ('성장 시뮬레이터'!$I$5+'성장 시뮬레이터'!$I$6) &gt;= G4,
           IF(ISNUMBER(SEARCH("무력", F4)), '성장 시뮬레이터'!$I$5 &gt;= G4,
           IF(ISNUMBER(SEARCH("지력", F4)), '성장 시뮬레이터'!$I$6 &gt;= G4,
           IF(ISNUMBER(SEARCH("내력", F4)), '성장 시뮬레이터'!$I$7 &gt;= G4,
           IF(ISNUMBER(SEARCH("체력", F4)), '성장 시뮬레이터'!$I$8 &gt;= G4, FALSE)))))
    ), "O", "X")</f>
        <v>O</v>
      </c>
      <c r="L4" s="106" t="str">
        <f>IF(
    AND(
        H4="O",
        I4="O",
        IF(ISNUMBER(SEARCH("무력+지력", F4)), ('성장 시뮬레이터'!$K$5+'성장 시뮬레이터'!$K$6) &gt;= G4,
           IF(ISNUMBER(SEARCH("무력", F4)), '성장 시뮬레이터'!$K$5 &gt;= G4,
           IF(ISNUMBER(SEARCH("지력", F4)), '성장 시뮬레이터'!$K$6 &gt;= G4,
           IF(ISNUMBER(SEARCH("내력", F4)), '성장 시뮬레이터'!$K$7 &gt;= G4,
           IF(ISNUMBER(SEARCH("체력", F4)), '성장 시뮬레이터'!$K$8 &gt;= G4, FALSE)))))
    ), "O", "X")</f>
        <v>O</v>
      </c>
      <c r="M4" s="106" t="str">
        <f>IF(
    AND(
        H4="O",
        I4="O",
        IF(ISNUMBER(SEARCH("무력+지력", F4)), ('성장 시뮬레이터'!$M$5+'성장 시뮬레이터'!$M$6) &gt;= G4,
           IF(ISNUMBER(SEARCH("무력", F4)), '성장 시뮬레이터'!$M$5 &gt;= G4,
           IF(ISNUMBER(SEARCH("지력", F4)), '성장 시뮬레이터'!$M$6 &gt;= G4,
           IF(ISNUMBER(SEARCH("내력", F4)), '성장 시뮬레이터'!$M$7 &gt;= G4,
           IF(ISNUMBER(SEARCH("체력", F4)), '성장 시뮬레이터'!$M$8 &gt;= G4, FALSE)))))
    ), "O", "X")</f>
        <v>O</v>
      </c>
      <c r="N4" s="106" t="str">
        <f>IF(
    AND(
        H4="O",
        I4="O",
        IF(ISNUMBER(SEARCH("무력+지력", F4)), ('성장 시뮬레이터'!$O$5+'성장 시뮬레이터'!$O$6) &gt;= G4,
           IF(ISNUMBER(SEARCH("무력", F4)), '성장 시뮬레이터'!$O$5 &gt;= G4,
           IF(ISNUMBER(SEARCH("지력", F4)), '성장 시뮬레이터'!$O$6 &gt;= G4,
           IF(ISNUMBER(SEARCH("내력", F4)), '성장 시뮬레이터'!$O$7 &gt;= G4,
           IF(ISNUMBER(SEARCH("체력", F4)), '성장 시뮬레이터'!$O$8 &gt;= G4, FALSE)))))
    ), "O", "X")</f>
        <v>O</v>
      </c>
      <c r="O4" s="106" t="str">
        <f>IF(
    AND(
        H4="O",
        I4="O",
        IF(ISNUMBER(SEARCH("무력+지력", F4)), ('성장 시뮬레이터'!$Q$5+'성장 시뮬레이터'!$Q$6) &gt;= G4,
           IF(ISNUMBER(SEARCH("무력", F4)), '성장 시뮬레이터'!$Q$5 &gt;= G4,
           IF(ISNUMBER(SEARCH("지력", F4)), '성장 시뮬레이터'!$Q$6 &gt;= G4,
           IF(ISNUMBER(SEARCH("내력", F4)), '성장 시뮬레이터'!$Q$7 &gt;= G4,
           IF(ISNUMBER(SEARCH("체력", F4)), '성장 시뮬레이터'!$Q$8 &gt;= G4, FALSE)))))
    ), "O", "X")</f>
        <v>O</v>
      </c>
      <c r="P4" s="106" t="s">
        <v>904</v>
      </c>
      <c r="Q4" s="142" t="str">
        <f t="shared" si="0"/>
        <v/>
      </c>
      <c r="R4" s="142">
        <f t="shared" si="1"/>
        <v>260</v>
      </c>
      <c r="S4" s="142">
        <f t="shared" si="2"/>
        <v>195</v>
      </c>
      <c r="T4" s="142" t="str">
        <f t="shared" si="3"/>
        <v/>
      </c>
      <c r="U4" s="142" t="str">
        <f t="shared" si="4"/>
        <v/>
      </c>
      <c r="V4" s="142" t="str">
        <f t="shared" si="5"/>
        <v/>
      </c>
      <c r="W4" s="142" t="str">
        <f t="shared" si="6"/>
        <v/>
      </c>
      <c r="X4" s="142">
        <f t="shared" si="7"/>
        <v>130</v>
      </c>
      <c r="Y4" s="142" t="str">
        <f t="shared" si="8"/>
        <v/>
      </c>
      <c r="Z4" s="142" t="str">
        <f t="shared" si="9"/>
        <v/>
      </c>
      <c r="AA4" s="11" t="s">
        <v>19</v>
      </c>
      <c r="AB4" s="11"/>
      <c r="AC4" s="11"/>
      <c r="AD4" s="11"/>
      <c r="AE4" s="12"/>
      <c r="AF4" s="144" t="s">
        <v>20</v>
      </c>
      <c r="AH4" s="8"/>
      <c r="AI4" s="8">
        <v>40</v>
      </c>
      <c r="AJ4" s="8">
        <v>30</v>
      </c>
      <c r="AK4" s="8"/>
      <c r="AL4" s="8"/>
      <c r="AM4" s="8"/>
      <c r="AN4" s="8"/>
      <c r="AO4" s="8">
        <v>20</v>
      </c>
      <c r="AP4" s="8"/>
      <c r="AQ4" s="8"/>
      <c r="AR4" s="103">
        <v>1.5</v>
      </c>
      <c r="AS4" s="8" t="str">
        <f>IF(OR(표1_3[[#This Row],[등급]]="명서",(표1_3[[#This Row],[등급]]="고급")),IF(AH4="","",AH4*$AR4),"")</f>
        <v/>
      </c>
      <c r="AT4" s="8">
        <f>IF(OR(표1_3[[#This Row],[등급]]="명서",(표1_3[[#This Row],[등급]]="고급")),IF(AI4="","",AI4*$AR4),"")</f>
        <v>60</v>
      </c>
      <c r="AU4" s="8">
        <f>IF(OR(표1_3[[#This Row],[등급]]="명서",(표1_3[[#This Row],[등급]]="고급")),IF(AJ4="","",AJ4*$AR4),"")</f>
        <v>45</v>
      </c>
      <c r="AV4" s="8" t="str">
        <f>IF(OR(표1_3[[#This Row],[등급]]="명서",(표1_3[[#This Row],[등급]]="고급")),IF(AK4="","",AK4*$AR4),"")</f>
        <v/>
      </c>
      <c r="AW4" s="8" t="str">
        <f>IF(OR(표1_3[[#This Row],[등급]]="명서",(표1_3[[#This Row],[등급]]="고급")),IF(AL4="","",AL4*$AR4),"")</f>
        <v/>
      </c>
      <c r="AX4" s="8" t="str">
        <f>IF(OR(표1_3[[#This Row],[등급]]="명서",(표1_3[[#This Row],[등급]]="고급")),IF(AM4="","",AM4*$AR4),"")</f>
        <v/>
      </c>
      <c r="AY4" s="8" t="str">
        <f>IF(OR(표1_3[[#This Row],[등급]]="명서",(표1_3[[#This Row],[등급]]="고급")),IF(AN4="","",AN4*$AR4),"")</f>
        <v/>
      </c>
      <c r="AZ4" s="8">
        <f>IF(OR(표1_3[[#This Row],[등급]]="명서",(표1_3[[#This Row],[등급]]="고급")),IF(AO4="","",AO4*$AR4),"")</f>
        <v>30</v>
      </c>
      <c r="BA4" s="8" t="str">
        <f>IF(OR(표1_3[[#This Row],[등급]]="명서",(표1_3[[#This Row],[등급]]="고급")),IF(AP4="","",AP4*$AR4),"")</f>
        <v/>
      </c>
      <c r="BB4" s="8" t="str">
        <f>IF(OR(표1_3[[#This Row],[등급]]="명서",(표1_3[[#This Row],[등급]]="고급")),IF(AQ4="","",AQ4*$AR4),"")</f>
        <v/>
      </c>
    </row>
    <row r="5" spans="1:54" x14ac:dyDescent="0.3">
      <c r="A5" s="5" t="s">
        <v>11</v>
      </c>
      <c r="B5" s="6" t="s">
        <v>12</v>
      </c>
      <c r="C5" s="203" t="s">
        <v>799</v>
      </c>
      <c r="D5" s="7" t="s">
        <v>210</v>
      </c>
      <c r="E5" s="7">
        <f t="array" ref="E5">INDEX(표1[내 책 등급], MATCH(1, (표1[사용자] ='성장 시뮬레이터'!$B$1) * (표1[책이름] = D5), 0))</f>
        <v>7</v>
      </c>
      <c r="F5" s="6" t="s">
        <v>21</v>
      </c>
      <c r="G5" s="142">
        <v>95</v>
      </c>
      <c r="H5" s="8" t="str">
        <f>IF(ISNUMBER(SEARCH("여", F5)), IF('성장 시뮬레이터'!$C$9=2, "O", "X"), "O")</f>
        <v>O</v>
      </c>
      <c r="I5" s="8" t="str">
        <f>IF(OR(ISNUMBER(SEARCH("위나라", F5)), ISNUMBER(SEARCH("촉나라", F5)), ISNUMBER(SEARCH("오나라", F5)), ISNUMBER(SEARCH("군웅", F5))), IF(ISNUMBER(SEARCH('성장 시뮬레이터'!$C$10, F5)), "O", "X"), "O")</f>
        <v>O</v>
      </c>
      <c r="J5" s="8" t="str">
        <f>IF(
    AND(
        H5="O",
        I5="O",
        IF(ISNUMBER(SEARCH("무력+지력", F5)), ('성장 시뮬레이터'!$G$5+'성장 시뮬레이터'!$G$6) &gt;= G5,
           IF(ISNUMBER(SEARCH("무력", F5)), '성장 시뮬레이터'!$G$5 &gt;= G5,
           IF(ISNUMBER(SEARCH("지력", F5)), '성장 시뮬레이터'!$G$6 &gt;= G5,
           IF(ISNUMBER(SEARCH("내력", F5)), '성장 시뮬레이터'!$G$7 &gt;= G5,
           IF(ISNUMBER(SEARCH("체력", F5)), '성장 시뮬레이터'!$G$8 &gt;= G5, FALSE)))))
    ), "O", "X")</f>
        <v>X</v>
      </c>
      <c r="K5" s="106" t="str">
        <f>IF(
    AND(
        H5="O",
        I5="O",
        IF(ISNUMBER(SEARCH("무력+지력", F5)), ('성장 시뮬레이터'!$I$5+'성장 시뮬레이터'!$I$6) &gt;= G5,
           IF(ISNUMBER(SEARCH("무력", F5)), '성장 시뮬레이터'!$I$5 &gt;= G5,
           IF(ISNUMBER(SEARCH("지력", F5)), '성장 시뮬레이터'!$I$6 &gt;= G5,
           IF(ISNUMBER(SEARCH("내력", F5)), '성장 시뮬레이터'!$I$7 &gt;= G5,
           IF(ISNUMBER(SEARCH("체력", F5)), '성장 시뮬레이터'!$I$8 &gt;= G5, FALSE)))))
    ), "O", "X")</f>
        <v>X</v>
      </c>
      <c r="L5" s="106" t="str">
        <f>IF(
    AND(
        H5="O",
        I5="O",
        IF(ISNUMBER(SEARCH("무력+지력", F5)), ('성장 시뮬레이터'!$K$5+'성장 시뮬레이터'!$K$6) &gt;= G5,
           IF(ISNUMBER(SEARCH("무력", F5)), '성장 시뮬레이터'!$K$5 &gt;= G5,
           IF(ISNUMBER(SEARCH("지력", F5)), '성장 시뮬레이터'!$K$6 &gt;= G5,
           IF(ISNUMBER(SEARCH("내력", F5)), '성장 시뮬레이터'!$K$7 &gt;= G5,
           IF(ISNUMBER(SEARCH("체력", F5)), '성장 시뮬레이터'!$K$8 &gt;= G5, FALSE)))))
    ), "O", "X")</f>
        <v>X</v>
      </c>
      <c r="M5" s="106" t="str">
        <f>IF(
    AND(
        H5="O",
        I5="O",
        IF(ISNUMBER(SEARCH("무력+지력", F5)), ('성장 시뮬레이터'!$M$5+'성장 시뮬레이터'!$M$6) &gt;= G5,
           IF(ISNUMBER(SEARCH("무력", F5)), '성장 시뮬레이터'!$M$5 &gt;= G5,
           IF(ISNUMBER(SEARCH("지력", F5)), '성장 시뮬레이터'!$M$6 &gt;= G5,
           IF(ISNUMBER(SEARCH("내력", F5)), '성장 시뮬레이터'!$M$7 &gt;= G5,
           IF(ISNUMBER(SEARCH("체력", F5)), '성장 시뮬레이터'!$M$8 &gt;= G5, FALSE)))))
    ), "O", "X")</f>
        <v>X</v>
      </c>
      <c r="N5" s="106" t="str">
        <f>IF(
    AND(
        H5="O",
        I5="O",
        IF(ISNUMBER(SEARCH("무력+지력", F5)), ('성장 시뮬레이터'!$O$5+'성장 시뮬레이터'!$O$6) &gt;= G5,
           IF(ISNUMBER(SEARCH("무력", F5)), '성장 시뮬레이터'!$O$5 &gt;= G5,
           IF(ISNUMBER(SEARCH("지력", F5)), '성장 시뮬레이터'!$O$6 &gt;= G5,
           IF(ISNUMBER(SEARCH("내력", F5)), '성장 시뮬레이터'!$O$7 &gt;= G5,
           IF(ISNUMBER(SEARCH("체력", F5)), '성장 시뮬레이터'!$O$8 &gt;= G5, FALSE)))))
    ), "O", "X")</f>
        <v>X</v>
      </c>
      <c r="O5" s="106" t="str">
        <f>IF(
    AND(
        H5="O",
        I5="O",
        IF(ISNUMBER(SEARCH("무력+지력", F5)), ('성장 시뮬레이터'!$Q$5+'성장 시뮬레이터'!$Q$6) &gt;= G5,
           IF(ISNUMBER(SEARCH("무력", F5)), '성장 시뮬레이터'!$Q$5 &gt;= G5,
           IF(ISNUMBER(SEARCH("지력", F5)), '성장 시뮬레이터'!$Q$6 &gt;= G5,
           IF(ISNUMBER(SEARCH("내력", F5)), '성장 시뮬레이터'!$Q$7 &gt;= G5,
           IF(ISNUMBER(SEARCH("체력", F5)), '성장 시뮬레이터'!$Q$8 &gt;= G5, FALSE)))))
    ), "O", "X")</f>
        <v>X</v>
      </c>
      <c r="P5" s="106" t="s">
        <v>905</v>
      </c>
      <c r="Q5" s="142">
        <f t="shared" si="0"/>
        <v>120</v>
      </c>
      <c r="R5" s="142" t="str">
        <f t="shared" si="1"/>
        <v/>
      </c>
      <c r="S5" s="142" t="str">
        <f t="shared" si="2"/>
        <v/>
      </c>
      <c r="T5" s="142" t="str">
        <f t="shared" si="3"/>
        <v/>
      </c>
      <c r="U5" s="142" t="str">
        <f t="shared" si="4"/>
        <v/>
      </c>
      <c r="V5" s="142">
        <f t="shared" si="5"/>
        <v>90</v>
      </c>
      <c r="W5" s="142" t="str">
        <f t="shared" si="6"/>
        <v/>
      </c>
      <c r="X5" s="142" t="str">
        <f t="shared" si="7"/>
        <v/>
      </c>
      <c r="Y5" s="142" t="str">
        <f t="shared" si="8"/>
        <v/>
      </c>
      <c r="Z5" s="142" t="str">
        <f t="shared" si="9"/>
        <v/>
      </c>
      <c r="AA5" s="11" t="s">
        <v>22</v>
      </c>
      <c r="AB5" s="11"/>
      <c r="AC5" s="11"/>
      <c r="AD5" s="11"/>
      <c r="AE5" s="12"/>
      <c r="AF5" s="144" t="s">
        <v>23</v>
      </c>
      <c r="AH5" s="8">
        <v>40</v>
      </c>
      <c r="AI5" s="8"/>
      <c r="AJ5" s="8"/>
      <c r="AK5" s="8"/>
      <c r="AL5" s="8"/>
      <c r="AM5" s="8">
        <v>30</v>
      </c>
      <c r="AN5" s="8"/>
      <c r="AO5" s="8"/>
      <c r="AP5" s="8"/>
      <c r="AQ5" s="8"/>
      <c r="AR5" s="103">
        <v>1.5</v>
      </c>
      <c r="AS5" s="8">
        <f>IF(OR(표1_3[[#This Row],[등급]]="명서",(표1_3[[#This Row],[등급]]="고급")),IF(AH5="","",AH5*$AR5),"")</f>
        <v>60</v>
      </c>
      <c r="AT5" s="8" t="str">
        <f>IF(OR(표1_3[[#This Row],[등급]]="명서",(표1_3[[#This Row],[등급]]="고급")),IF(AI5="","",AI5*$AR5),"")</f>
        <v/>
      </c>
      <c r="AU5" s="8" t="str">
        <f>IF(OR(표1_3[[#This Row],[등급]]="명서",(표1_3[[#This Row],[등급]]="고급")),IF(AJ5="","",AJ5*$AR5),"")</f>
        <v/>
      </c>
      <c r="AV5" s="8" t="str">
        <f>IF(OR(표1_3[[#This Row],[등급]]="명서",(표1_3[[#This Row],[등급]]="고급")),IF(AK5="","",AK5*$AR5),"")</f>
        <v/>
      </c>
      <c r="AW5" s="8" t="str">
        <f>IF(OR(표1_3[[#This Row],[등급]]="명서",(표1_3[[#This Row],[등급]]="고급")),IF(AL5="","",AL5*$AR5),"")</f>
        <v/>
      </c>
      <c r="AX5" s="8">
        <f>IF(OR(표1_3[[#This Row],[등급]]="명서",(표1_3[[#This Row],[등급]]="고급")),IF(AM5="","",AM5*$AR5),"")</f>
        <v>45</v>
      </c>
      <c r="AY5" s="8" t="str">
        <f>IF(OR(표1_3[[#This Row],[등급]]="명서",(표1_3[[#This Row],[등급]]="고급")),IF(AN5="","",AN5*$AR5),"")</f>
        <v/>
      </c>
      <c r="AZ5" s="8" t="str">
        <f>IF(OR(표1_3[[#This Row],[등급]]="명서",(표1_3[[#This Row],[등급]]="고급")),IF(AO5="","",AO5*$AR5),"")</f>
        <v/>
      </c>
      <c r="BA5" s="8" t="str">
        <f>IF(OR(표1_3[[#This Row],[등급]]="명서",(표1_3[[#This Row],[등급]]="고급")),IF(AP5="","",AP5*$AR5),"")</f>
        <v/>
      </c>
      <c r="BB5" s="8" t="str">
        <f>IF(OR(표1_3[[#This Row],[등급]]="명서",(표1_3[[#This Row],[등급]]="고급")),IF(AQ5="","",AQ5*$AR5),"")</f>
        <v/>
      </c>
    </row>
    <row r="6" spans="1:54" x14ac:dyDescent="0.3">
      <c r="A6" s="5" t="s">
        <v>11</v>
      </c>
      <c r="B6" s="6" t="s">
        <v>12</v>
      </c>
      <c r="C6" s="203" t="s">
        <v>799</v>
      </c>
      <c r="D6" s="7" t="s">
        <v>24</v>
      </c>
      <c r="E6" s="7">
        <f t="array" ref="E6">INDEX(표1[내 책 등급], MATCH(1, (표1[사용자] ='성장 시뮬레이터'!$B$1) * (표1[책이름] = D6), 0))</f>
        <v>10</v>
      </c>
      <c r="F6" s="6" t="s">
        <v>21</v>
      </c>
      <c r="G6" s="142">
        <v>95</v>
      </c>
      <c r="H6" s="8" t="str">
        <f>IF(ISNUMBER(SEARCH("여", F6)), IF('성장 시뮬레이터'!$C$9=2, "O", "X"), "O")</f>
        <v>O</v>
      </c>
      <c r="I6" s="8" t="str">
        <f>IF(OR(ISNUMBER(SEARCH("위나라", F6)), ISNUMBER(SEARCH("촉나라", F6)), ISNUMBER(SEARCH("오나라", F6)), ISNUMBER(SEARCH("군웅", F6))), IF(ISNUMBER(SEARCH('성장 시뮬레이터'!$C$10, F6)), "O", "X"), "O")</f>
        <v>O</v>
      </c>
      <c r="J6" s="8" t="str">
        <f>IF(
    AND(
        H6="O",
        I6="O",
        IF(ISNUMBER(SEARCH("무력+지력", F6)), ('성장 시뮬레이터'!$G$5+'성장 시뮬레이터'!$G$6) &gt;= G6,
           IF(ISNUMBER(SEARCH("무력", F6)), '성장 시뮬레이터'!$G$5 &gt;= G6,
           IF(ISNUMBER(SEARCH("지력", F6)), '성장 시뮬레이터'!$G$6 &gt;= G6,
           IF(ISNUMBER(SEARCH("내력", F6)), '성장 시뮬레이터'!$G$7 &gt;= G6,
           IF(ISNUMBER(SEARCH("체력", F6)), '성장 시뮬레이터'!$G$8 &gt;= G6, FALSE)))))
    ), "O", "X")</f>
        <v>X</v>
      </c>
      <c r="K6" s="106" t="str">
        <f>IF(
    AND(
        H6="O",
        I6="O",
        IF(ISNUMBER(SEARCH("무력+지력", F6)), ('성장 시뮬레이터'!$I$5+'성장 시뮬레이터'!$I$6) &gt;= G6,
           IF(ISNUMBER(SEARCH("무력", F6)), '성장 시뮬레이터'!$I$5 &gt;= G6,
           IF(ISNUMBER(SEARCH("지력", F6)), '성장 시뮬레이터'!$I$6 &gt;= G6,
           IF(ISNUMBER(SEARCH("내력", F6)), '성장 시뮬레이터'!$I$7 &gt;= G6,
           IF(ISNUMBER(SEARCH("체력", F6)), '성장 시뮬레이터'!$I$8 &gt;= G6, FALSE)))))
    ), "O", "X")</f>
        <v>X</v>
      </c>
      <c r="L6" s="106" t="str">
        <f>IF(
    AND(
        H6="O",
        I6="O",
        IF(ISNUMBER(SEARCH("무력+지력", F6)), ('성장 시뮬레이터'!$K$5+'성장 시뮬레이터'!$K$6) &gt;= G6,
           IF(ISNUMBER(SEARCH("무력", F6)), '성장 시뮬레이터'!$K$5 &gt;= G6,
           IF(ISNUMBER(SEARCH("지력", F6)), '성장 시뮬레이터'!$K$6 &gt;= G6,
           IF(ISNUMBER(SEARCH("내력", F6)), '성장 시뮬레이터'!$K$7 &gt;= G6,
           IF(ISNUMBER(SEARCH("체력", F6)), '성장 시뮬레이터'!$K$8 &gt;= G6, FALSE)))))
    ), "O", "X")</f>
        <v>X</v>
      </c>
      <c r="M6" s="106" t="str">
        <f>IF(
    AND(
        H6="O",
        I6="O",
        IF(ISNUMBER(SEARCH("무력+지력", F6)), ('성장 시뮬레이터'!$M$5+'성장 시뮬레이터'!$M$6) &gt;= G6,
           IF(ISNUMBER(SEARCH("무력", F6)), '성장 시뮬레이터'!$M$5 &gt;= G6,
           IF(ISNUMBER(SEARCH("지력", F6)), '성장 시뮬레이터'!$M$6 &gt;= G6,
           IF(ISNUMBER(SEARCH("내력", F6)), '성장 시뮬레이터'!$M$7 &gt;= G6,
           IF(ISNUMBER(SEARCH("체력", F6)), '성장 시뮬레이터'!$M$8 &gt;= G6, FALSE)))))
    ), "O", "X")</f>
        <v>X</v>
      </c>
      <c r="N6" s="106" t="str">
        <f>IF(
    AND(
        H6="O",
        I6="O",
        IF(ISNUMBER(SEARCH("무력+지력", F6)), ('성장 시뮬레이터'!$O$5+'성장 시뮬레이터'!$O$6) &gt;= G6,
           IF(ISNUMBER(SEARCH("무력", F6)), '성장 시뮬레이터'!$O$5 &gt;= G6,
           IF(ISNUMBER(SEARCH("지력", F6)), '성장 시뮬레이터'!$O$6 &gt;= G6,
           IF(ISNUMBER(SEARCH("내력", F6)), '성장 시뮬레이터'!$O$7 &gt;= G6,
           IF(ISNUMBER(SEARCH("체력", F6)), '성장 시뮬레이터'!$O$8 &gt;= G6, FALSE)))))
    ), "O", "X")</f>
        <v>X</v>
      </c>
      <c r="O6" s="106" t="str">
        <f>IF(
    AND(
        H6="O",
        I6="O",
        IF(ISNUMBER(SEARCH("무력+지력", F6)), ('성장 시뮬레이터'!$Q$5+'성장 시뮬레이터'!$Q$6) &gt;= G6,
           IF(ISNUMBER(SEARCH("무력", F6)), '성장 시뮬레이터'!$Q$5 &gt;= G6,
           IF(ISNUMBER(SEARCH("지력", F6)), '성장 시뮬레이터'!$Q$6 &gt;= G6,
           IF(ISNUMBER(SEARCH("내력", F6)), '성장 시뮬레이터'!$Q$7 &gt;= G6,
           IF(ISNUMBER(SEARCH("체력", F6)), '성장 시뮬레이터'!$Q$8 &gt;= G6, FALSE)))))
    ), "O", "X")</f>
        <v>X</v>
      </c>
      <c r="P6" s="106" t="s">
        <v>905</v>
      </c>
      <c r="Q6" s="142">
        <f t="shared" si="0"/>
        <v>260</v>
      </c>
      <c r="R6" s="142" t="str">
        <f t="shared" si="1"/>
        <v/>
      </c>
      <c r="S6" s="142" t="str">
        <f t="shared" si="2"/>
        <v/>
      </c>
      <c r="T6" s="142" t="str">
        <f t="shared" si="3"/>
        <v/>
      </c>
      <c r="U6" s="142">
        <f t="shared" si="4"/>
        <v>195</v>
      </c>
      <c r="V6" s="142" t="str">
        <f t="shared" si="5"/>
        <v/>
      </c>
      <c r="W6" s="142" t="str">
        <f t="shared" si="6"/>
        <v/>
      </c>
      <c r="X6" s="142" t="str">
        <f t="shared" si="7"/>
        <v/>
      </c>
      <c r="Y6" s="142" t="str">
        <f t="shared" si="8"/>
        <v/>
      </c>
      <c r="Z6" s="142" t="str">
        <f t="shared" si="9"/>
        <v/>
      </c>
      <c r="AA6" s="11" t="s">
        <v>25</v>
      </c>
      <c r="AB6" s="11"/>
      <c r="AC6" s="11"/>
      <c r="AD6" s="11"/>
      <c r="AE6" s="12"/>
      <c r="AF6" s="144" t="s">
        <v>26</v>
      </c>
      <c r="AH6" s="8">
        <v>40</v>
      </c>
      <c r="AI6" s="8"/>
      <c r="AJ6" s="8"/>
      <c r="AK6" s="8"/>
      <c r="AL6" s="8">
        <v>30</v>
      </c>
      <c r="AM6" s="8"/>
      <c r="AN6" s="8"/>
      <c r="AO6" s="8"/>
      <c r="AP6" s="8"/>
      <c r="AQ6" s="8"/>
      <c r="AR6" s="103">
        <v>1.5</v>
      </c>
      <c r="AS6" s="8">
        <f>IF(OR(표1_3[[#This Row],[등급]]="명서",(표1_3[[#This Row],[등급]]="고급")),IF(AH6="","",AH6*$AR6),"")</f>
        <v>60</v>
      </c>
      <c r="AT6" s="8" t="str">
        <f>IF(OR(표1_3[[#This Row],[등급]]="명서",(표1_3[[#This Row],[등급]]="고급")),IF(AI6="","",AI6*$AR6),"")</f>
        <v/>
      </c>
      <c r="AU6" s="8" t="str">
        <f>IF(OR(표1_3[[#This Row],[등급]]="명서",(표1_3[[#This Row],[등급]]="고급")),IF(AJ6="","",AJ6*$AR6),"")</f>
        <v/>
      </c>
      <c r="AV6" s="8" t="str">
        <f>IF(OR(표1_3[[#This Row],[등급]]="명서",(표1_3[[#This Row],[등급]]="고급")),IF(AK6="","",AK6*$AR6),"")</f>
        <v/>
      </c>
      <c r="AW6" s="8">
        <f>IF(OR(표1_3[[#This Row],[등급]]="명서",(표1_3[[#This Row],[등급]]="고급")),IF(AL6="","",AL6*$AR6),"")</f>
        <v>45</v>
      </c>
      <c r="AX6" s="8" t="str">
        <f>IF(OR(표1_3[[#This Row],[등급]]="명서",(표1_3[[#This Row],[등급]]="고급")),IF(AM6="","",AM6*$AR6),"")</f>
        <v/>
      </c>
      <c r="AY6" s="8" t="str">
        <f>IF(OR(표1_3[[#This Row],[등급]]="명서",(표1_3[[#This Row],[등급]]="고급")),IF(AN6="","",AN6*$AR6),"")</f>
        <v/>
      </c>
      <c r="AZ6" s="8" t="str">
        <f>IF(OR(표1_3[[#This Row],[등급]]="명서",(표1_3[[#This Row],[등급]]="고급")),IF(AO6="","",AO6*$AR6),"")</f>
        <v/>
      </c>
      <c r="BA6" s="8" t="str">
        <f>IF(OR(표1_3[[#This Row],[등급]]="명서",(표1_3[[#This Row],[등급]]="고급")),IF(AP6="","",AP6*$AR6),"")</f>
        <v/>
      </c>
      <c r="BB6" s="8" t="str">
        <f>IF(OR(표1_3[[#This Row],[등급]]="명서",(표1_3[[#This Row],[등급]]="고급")),IF(AQ6="","",AQ6*$AR6),"")</f>
        <v/>
      </c>
    </row>
    <row r="7" spans="1:54" x14ac:dyDescent="0.3">
      <c r="A7" s="5" t="s">
        <v>11</v>
      </c>
      <c r="B7" s="6" t="s">
        <v>12</v>
      </c>
      <c r="C7" s="203" t="s">
        <v>799</v>
      </c>
      <c r="D7" s="7" t="s">
        <v>27</v>
      </c>
      <c r="E7" s="7">
        <f t="array" ref="E7">INDEX(표1[내 책 등급], MATCH(1, (표1[사용자] ='성장 시뮬레이터'!$B$1) * (표1[책이름] = D7), 0))</f>
        <v>10</v>
      </c>
      <c r="F7" s="6" t="s">
        <v>18</v>
      </c>
      <c r="G7" s="142">
        <v>170</v>
      </c>
      <c r="H7" s="8" t="str">
        <f>IF(ISNUMBER(SEARCH("여", F7)), IF('성장 시뮬레이터'!$C$9=2, "O", "X"), "O")</f>
        <v>O</v>
      </c>
      <c r="I7" s="8" t="str">
        <f>IF(OR(ISNUMBER(SEARCH("위나라", F7)), ISNUMBER(SEARCH("촉나라", F7)), ISNUMBER(SEARCH("오나라", F7)), ISNUMBER(SEARCH("군웅", F7))), IF(ISNUMBER(SEARCH('성장 시뮬레이터'!$C$10, F7)), "O", "X"), "O")</f>
        <v>O</v>
      </c>
      <c r="J7" s="8" t="str">
        <f>IF(
    AND(
        H7="O",
        I7="O",
        IF(ISNUMBER(SEARCH("무력+지력", F7)), ('성장 시뮬레이터'!$G$5+'성장 시뮬레이터'!$G$6) &gt;= G7,
           IF(ISNUMBER(SEARCH("무력", F7)), '성장 시뮬레이터'!$G$5 &gt;= G7,
           IF(ISNUMBER(SEARCH("지력", F7)), '성장 시뮬레이터'!$G$6 &gt;= G7,
           IF(ISNUMBER(SEARCH("내력", F7)), '성장 시뮬레이터'!$G$7 &gt;= G7,
           IF(ISNUMBER(SEARCH("체력", F7)), '성장 시뮬레이터'!$G$8 &gt;= G7, FALSE)))))
    ), "O", "X")</f>
        <v>O</v>
      </c>
      <c r="K7" s="106" t="str">
        <f>IF(
    AND(
        H7="O",
        I7="O",
        IF(ISNUMBER(SEARCH("무력+지력", F7)), ('성장 시뮬레이터'!$I$5+'성장 시뮬레이터'!$I$6) &gt;= G7,
           IF(ISNUMBER(SEARCH("무력", F7)), '성장 시뮬레이터'!$I$5 &gt;= G7,
           IF(ISNUMBER(SEARCH("지력", F7)), '성장 시뮬레이터'!$I$6 &gt;= G7,
           IF(ISNUMBER(SEARCH("내력", F7)), '성장 시뮬레이터'!$I$7 &gt;= G7,
           IF(ISNUMBER(SEARCH("체력", F7)), '성장 시뮬레이터'!$I$8 &gt;= G7, FALSE)))))
    ), "O", "X")</f>
        <v>O</v>
      </c>
      <c r="L7" s="106" t="str">
        <f>IF(
    AND(
        H7="O",
        I7="O",
        IF(ISNUMBER(SEARCH("무력+지력", F7)), ('성장 시뮬레이터'!$K$5+'성장 시뮬레이터'!$K$6) &gt;= G7,
           IF(ISNUMBER(SEARCH("무력", F7)), '성장 시뮬레이터'!$K$5 &gt;= G7,
           IF(ISNUMBER(SEARCH("지력", F7)), '성장 시뮬레이터'!$K$6 &gt;= G7,
           IF(ISNUMBER(SEARCH("내력", F7)), '성장 시뮬레이터'!$K$7 &gt;= G7,
           IF(ISNUMBER(SEARCH("체력", F7)), '성장 시뮬레이터'!$K$8 &gt;= G7, FALSE)))))
    ), "O", "X")</f>
        <v>O</v>
      </c>
      <c r="M7" s="106" t="str">
        <f>IF(
    AND(
        H7="O",
        I7="O",
        IF(ISNUMBER(SEARCH("무력+지력", F7)), ('성장 시뮬레이터'!$M$5+'성장 시뮬레이터'!$M$6) &gt;= G7,
           IF(ISNUMBER(SEARCH("무력", F7)), '성장 시뮬레이터'!$M$5 &gt;= G7,
           IF(ISNUMBER(SEARCH("지력", F7)), '성장 시뮬레이터'!$M$6 &gt;= G7,
           IF(ISNUMBER(SEARCH("내력", F7)), '성장 시뮬레이터'!$M$7 &gt;= G7,
           IF(ISNUMBER(SEARCH("체력", F7)), '성장 시뮬레이터'!$M$8 &gt;= G7, FALSE)))))
    ), "O", "X")</f>
        <v>O</v>
      </c>
      <c r="N7" s="106" t="str">
        <f>IF(
    AND(
        H7="O",
        I7="O",
        IF(ISNUMBER(SEARCH("무력+지력", F7)), ('성장 시뮬레이터'!$O$5+'성장 시뮬레이터'!$O$6) &gt;= G7,
           IF(ISNUMBER(SEARCH("무력", F7)), '성장 시뮬레이터'!$O$5 &gt;= G7,
           IF(ISNUMBER(SEARCH("지력", F7)), '성장 시뮬레이터'!$O$6 &gt;= G7,
           IF(ISNUMBER(SEARCH("내력", F7)), '성장 시뮬레이터'!$O$7 &gt;= G7,
           IF(ISNUMBER(SEARCH("체력", F7)), '성장 시뮬레이터'!$O$8 &gt;= G7, FALSE)))))
    ), "O", "X")</f>
        <v>O</v>
      </c>
      <c r="O7" s="106" t="str">
        <f>IF(
    AND(
        H7="O",
        I7="O",
        IF(ISNUMBER(SEARCH("무력+지력", F7)), ('성장 시뮬레이터'!$Q$5+'성장 시뮬레이터'!$Q$6) &gt;= G7,
           IF(ISNUMBER(SEARCH("무력", F7)), '성장 시뮬레이터'!$Q$5 &gt;= G7,
           IF(ISNUMBER(SEARCH("지력", F7)), '성장 시뮬레이터'!$Q$6 &gt;= G7,
           IF(ISNUMBER(SEARCH("내력", F7)), '성장 시뮬레이터'!$Q$7 &gt;= G7,
           IF(ISNUMBER(SEARCH("체력", F7)), '성장 시뮬레이터'!$Q$8 &gt;= G7, FALSE)))))
    ), "O", "X")</f>
        <v>O</v>
      </c>
      <c r="P7" s="106" t="s">
        <v>904</v>
      </c>
      <c r="Q7" s="142">
        <f t="shared" si="0"/>
        <v>130</v>
      </c>
      <c r="R7" s="142" t="str">
        <f t="shared" si="1"/>
        <v/>
      </c>
      <c r="S7" s="142">
        <f t="shared" si="2"/>
        <v>260</v>
      </c>
      <c r="T7" s="142" t="str">
        <f t="shared" si="3"/>
        <v/>
      </c>
      <c r="U7" s="142" t="str">
        <f t="shared" si="4"/>
        <v/>
      </c>
      <c r="V7" s="142" t="str">
        <f t="shared" si="5"/>
        <v/>
      </c>
      <c r="W7" s="142" t="str">
        <f t="shared" si="6"/>
        <v/>
      </c>
      <c r="X7" s="142">
        <f t="shared" si="7"/>
        <v>130</v>
      </c>
      <c r="Y7" s="142" t="str">
        <f t="shared" si="8"/>
        <v/>
      </c>
      <c r="Z7" s="142" t="str">
        <f t="shared" si="9"/>
        <v/>
      </c>
      <c r="AA7" s="11" t="s">
        <v>28</v>
      </c>
      <c r="AB7" s="11"/>
      <c r="AC7" s="11"/>
      <c r="AD7" s="11"/>
      <c r="AE7" s="12"/>
      <c r="AF7" s="144" t="s">
        <v>29</v>
      </c>
      <c r="AH7" s="8">
        <v>20</v>
      </c>
      <c r="AI7" s="8"/>
      <c r="AJ7" s="8">
        <v>40</v>
      </c>
      <c r="AK7" s="8"/>
      <c r="AL7" s="8"/>
      <c r="AM7" s="8"/>
      <c r="AN7" s="8"/>
      <c r="AO7" s="8">
        <v>20</v>
      </c>
      <c r="AP7" s="8"/>
      <c r="AQ7" s="8"/>
      <c r="AR7" s="103">
        <v>1.5</v>
      </c>
      <c r="AS7" s="8">
        <f>IF(OR(표1_3[[#This Row],[등급]]="명서",(표1_3[[#This Row],[등급]]="고급")),IF(AH7="","",AH7*$AR7),"")</f>
        <v>30</v>
      </c>
      <c r="AT7" s="8" t="str">
        <f>IF(OR(표1_3[[#This Row],[등급]]="명서",(표1_3[[#This Row],[등급]]="고급")),IF(AI7="","",AI7*$AR7),"")</f>
        <v/>
      </c>
      <c r="AU7" s="8">
        <f>IF(OR(표1_3[[#This Row],[등급]]="명서",(표1_3[[#This Row],[등급]]="고급")),IF(AJ7="","",AJ7*$AR7),"")</f>
        <v>60</v>
      </c>
      <c r="AV7" s="8" t="str">
        <f>IF(OR(표1_3[[#This Row],[등급]]="명서",(표1_3[[#This Row],[등급]]="고급")),IF(AK7="","",AK7*$AR7),"")</f>
        <v/>
      </c>
      <c r="AW7" s="8" t="str">
        <f>IF(OR(표1_3[[#This Row],[등급]]="명서",(표1_3[[#This Row],[등급]]="고급")),IF(AL7="","",AL7*$AR7),"")</f>
        <v/>
      </c>
      <c r="AX7" s="8" t="str">
        <f>IF(OR(표1_3[[#This Row],[등급]]="명서",(표1_3[[#This Row],[등급]]="고급")),IF(AM7="","",AM7*$AR7),"")</f>
        <v/>
      </c>
      <c r="AY7" s="8" t="str">
        <f>IF(OR(표1_3[[#This Row],[등급]]="명서",(표1_3[[#This Row],[등급]]="고급")),IF(AN7="","",AN7*$AR7),"")</f>
        <v/>
      </c>
      <c r="AZ7" s="8">
        <f>IF(OR(표1_3[[#This Row],[등급]]="명서",(표1_3[[#This Row],[등급]]="고급")),IF(AO7="","",AO7*$AR7),"")</f>
        <v>30</v>
      </c>
      <c r="BA7" s="8" t="str">
        <f>IF(OR(표1_3[[#This Row],[등급]]="명서",(표1_3[[#This Row],[등급]]="고급")),IF(AP7="","",AP7*$AR7),"")</f>
        <v/>
      </c>
      <c r="BB7" s="8" t="str">
        <f>IF(OR(표1_3[[#This Row],[등급]]="명서",(표1_3[[#This Row],[등급]]="고급")),IF(AQ7="","",AQ7*$AR7),"")</f>
        <v/>
      </c>
    </row>
    <row r="8" spans="1:54" x14ac:dyDescent="0.3">
      <c r="A8" s="5" t="s">
        <v>11</v>
      </c>
      <c r="B8" s="6" t="s">
        <v>12</v>
      </c>
      <c r="C8" s="203" t="s">
        <v>799</v>
      </c>
      <c r="D8" s="7" t="s">
        <v>211</v>
      </c>
      <c r="E8" s="7">
        <f t="array" ref="E8">INDEX(표1[내 책 등급], MATCH(1, (표1[사용자] ='성장 시뮬레이터'!$B$1) * (표1[책이름] = D8), 0))</f>
        <v>10</v>
      </c>
      <c r="F8" s="6" t="s">
        <v>30</v>
      </c>
      <c r="G8" s="142">
        <v>120</v>
      </c>
      <c r="H8" s="8" t="str">
        <f>IF(ISNUMBER(SEARCH("여", F8)), IF('성장 시뮬레이터'!$C$9=2, "O", "X"), "O")</f>
        <v>O</v>
      </c>
      <c r="I8" s="8" t="str">
        <f>IF(OR(ISNUMBER(SEARCH("위나라", F8)), ISNUMBER(SEARCH("촉나라", F8)), ISNUMBER(SEARCH("오나라", F8)), ISNUMBER(SEARCH("군웅", F8))), IF(ISNUMBER(SEARCH('성장 시뮬레이터'!$C$10, F8)), "O", "X"), "O")</f>
        <v>O</v>
      </c>
      <c r="J8" s="8" t="str">
        <f>IF(
    AND(
        H8="O",
        I8="O",
        IF(ISNUMBER(SEARCH("무력+지력", F8)), ('성장 시뮬레이터'!$G$5+'성장 시뮬레이터'!$G$6) &gt;= G8,
           IF(ISNUMBER(SEARCH("무력", F8)), '성장 시뮬레이터'!$G$5 &gt;= G8,
           IF(ISNUMBER(SEARCH("지력", F8)), '성장 시뮬레이터'!$G$6 &gt;= G8,
           IF(ISNUMBER(SEARCH("내력", F8)), '성장 시뮬레이터'!$G$7 &gt;= G8,
           IF(ISNUMBER(SEARCH("체력", F8)), '성장 시뮬레이터'!$G$8 &gt;= G8, FALSE)))))
    ), "O", "X")</f>
        <v>X</v>
      </c>
      <c r="K8" s="106" t="str">
        <f>IF(
    AND(
        H8="O",
        I8="O",
        IF(ISNUMBER(SEARCH("무력+지력", F8)), ('성장 시뮬레이터'!$I$5+'성장 시뮬레이터'!$I$6) &gt;= G8,
           IF(ISNUMBER(SEARCH("무력", F8)), '성장 시뮬레이터'!$I$5 &gt;= G8,
           IF(ISNUMBER(SEARCH("지력", F8)), '성장 시뮬레이터'!$I$6 &gt;= G8,
           IF(ISNUMBER(SEARCH("내력", F8)), '성장 시뮬레이터'!$I$7 &gt;= G8,
           IF(ISNUMBER(SEARCH("체력", F8)), '성장 시뮬레이터'!$I$8 &gt;= G8, FALSE)))))
    ), "O", "X")</f>
        <v>O</v>
      </c>
      <c r="L8" s="106" t="str">
        <f>IF(
    AND(
        H8="O",
        I8="O",
        IF(ISNUMBER(SEARCH("무력+지력", F8)), ('성장 시뮬레이터'!$K$5+'성장 시뮬레이터'!$K$6) &gt;= G8,
           IF(ISNUMBER(SEARCH("무력", F8)), '성장 시뮬레이터'!$K$5 &gt;= G8,
           IF(ISNUMBER(SEARCH("지력", F8)), '성장 시뮬레이터'!$K$6 &gt;= G8,
           IF(ISNUMBER(SEARCH("내력", F8)), '성장 시뮬레이터'!$K$7 &gt;= G8,
           IF(ISNUMBER(SEARCH("체력", F8)), '성장 시뮬레이터'!$K$8 &gt;= G8, FALSE)))))
    ), "O", "X")</f>
        <v>O</v>
      </c>
      <c r="M8" s="106" t="str">
        <f>IF(
    AND(
        H8="O",
        I8="O",
        IF(ISNUMBER(SEARCH("무력+지력", F8)), ('성장 시뮬레이터'!$M$5+'성장 시뮬레이터'!$M$6) &gt;= G8,
           IF(ISNUMBER(SEARCH("무력", F8)), '성장 시뮬레이터'!$M$5 &gt;= G8,
           IF(ISNUMBER(SEARCH("지력", F8)), '성장 시뮬레이터'!$M$6 &gt;= G8,
           IF(ISNUMBER(SEARCH("내력", F8)), '성장 시뮬레이터'!$M$7 &gt;= G8,
           IF(ISNUMBER(SEARCH("체력", F8)), '성장 시뮬레이터'!$M$8 &gt;= G8, FALSE)))))
    ), "O", "X")</f>
        <v>O</v>
      </c>
      <c r="N8" s="106" t="str">
        <f>IF(
    AND(
        H8="O",
        I8="O",
        IF(ISNUMBER(SEARCH("무력+지력", F8)), ('성장 시뮬레이터'!$O$5+'성장 시뮬레이터'!$O$6) &gt;= G8,
           IF(ISNUMBER(SEARCH("무력", F8)), '성장 시뮬레이터'!$O$5 &gt;= G8,
           IF(ISNUMBER(SEARCH("지력", F8)), '성장 시뮬레이터'!$O$6 &gt;= G8,
           IF(ISNUMBER(SEARCH("내력", F8)), '성장 시뮬레이터'!$O$7 &gt;= G8,
           IF(ISNUMBER(SEARCH("체력", F8)), '성장 시뮬레이터'!$O$8 &gt;= G8, FALSE)))))
    ), "O", "X")</f>
        <v>O</v>
      </c>
      <c r="O8" s="106" t="str">
        <f>IF(
    AND(
        H8="O",
        I8="O",
        IF(ISNUMBER(SEARCH("무력+지력", F8)), ('성장 시뮬레이터'!$Q$5+'성장 시뮬레이터'!$Q$6) &gt;= G8,
           IF(ISNUMBER(SEARCH("무력", F8)), '성장 시뮬레이터'!$Q$5 &gt;= G8,
           IF(ISNUMBER(SEARCH("지력", F8)), '성장 시뮬레이터'!$Q$6 &gt;= G8,
           IF(ISNUMBER(SEARCH("내력", F8)), '성장 시뮬레이터'!$Q$7 &gt;= G8,
           IF(ISNUMBER(SEARCH("체력", F8)), '성장 시뮬레이터'!$Q$8 &gt;= G8, FALSE)))))
    ), "O", "X")</f>
        <v>O</v>
      </c>
      <c r="P8" s="106" t="s">
        <v>904</v>
      </c>
      <c r="Q8" s="142">
        <f t="shared" si="0"/>
        <v>130</v>
      </c>
      <c r="R8" s="142" t="str">
        <f t="shared" si="1"/>
        <v/>
      </c>
      <c r="S8" s="142">
        <f t="shared" si="2"/>
        <v>260</v>
      </c>
      <c r="T8" s="142" t="str">
        <f t="shared" si="3"/>
        <v/>
      </c>
      <c r="U8" s="142" t="str">
        <f t="shared" si="4"/>
        <v/>
      </c>
      <c r="V8" s="142" t="str">
        <f t="shared" si="5"/>
        <v/>
      </c>
      <c r="W8" s="142" t="str">
        <f t="shared" si="6"/>
        <v/>
      </c>
      <c r="X8" s="142">
        <f t="shared" si="7"/>
        <v>130</v>
      </c>
      <c r="Y8" s="142" t="str">
        <f t="shared" si="8"/>
        <v/>
      </c>
      <c r="Z8" s="142" t="str">
        <f t="shared" si="9"/>
        <v/>
      </c>
      <c r="AA8" s="11" t="s">
        <v>28</v>
      </c>
      <c r="AB8" s="11"/>
      <c r="AC8" s="11"/>
      <c r="AD8" s="11"/>
      <c r="AE8" s="12"/>
      <c r="AF8" s="144" t="s">
        <v>29</v>
      </c>
      <c r="AH8" s="8">
        <v>20</v>
      </c>
      <c r="AI8" s="8"/>
      <c r="AJ8" s="8">
        <v>40</v>
      </c>
      <c r="AK8" s="8"/>
      <c r="AL8" s="8"/>
      <c r="AM8" s="8"/>
      <c r="AN8" s="8"/>
      <c r="AO8" s="8">
        <v>20</v>
      </c>
      <c r="AP8" s="8"/>
      <c r="AQ8" s="8"/>
      <c r="AR8" s="103">
        <v>1.5</v>
      </c>
      <c r="AS8" s="8">
        <f>IF(OR(표1_3[[#This Row],[등급]]="명서",(표1_3[[#This Row],[등급]]="고급")),IF(AH8="","",AH8*$AR8),"")</f>
        <v>30</v>
      </c>
      <c r="AT8" s="8" t="str">
        <f>IF(OR(표1_3[[#This Row],[등급]]="명서",(표1_3[[#This Row],[등급]]="고급")),IF(AI8="","",AI8*$AR8),"")</f>
        <v/>
      </c>
      <c r="AU8" s="8">
        <f>IF(OR(표1_3[[#This Row],[등급]]="명서",(표1_3[[#This Row],[등급]]="고급")),IF(AJ8="","",AJ8*$AR8),"")</f>
        <v>60</v>
      </c>
      <c r="AV8" s="8" t="str">
        <f>IF(OR(표1_3[[#This Row],[등급]]="명서",(표1_3[[#This Row],[등급]]="고급")),IF(AK8="","",AK8*$AR8),"")</f>
        <v/>
      </c>
      <c r="AW8" s="8" t="str">
        <f>IF(OR(표1_3[[#This Row],[등급]]="명서",(표1_3[[#This Row],[등급]]="고급")),IF(AL8="","",AL8*$AR8),"")</f>
        <v/>
      </c>
      <c r="AX8" s="8" t="str">
        <f>IF(OR(표1_3[[#This Row],[등급]]="명서",(표1_3[[#This Row],[등급]]="고급")),IF(AM8="","",AM8*$AR8),"")</f>
        <v/>
      </c>
      <c r="AY8" s="8" t="str">
        <f>IF(OR(표1_3[[#This Row],[등급]]="명서",(표1_3[[#This Row],[등급]]="고급")),IF(AN8="","",AN8*$AR8),"")</f>
        <v/>
      </c>
      <c r="AZ8" s="8">
        <f>IF(OR(표1_3[[#This Row],[등급]]="명서",(표1_3[[#This Row],[등급]]="고급")),IF(AO8="","",AO8*$AR8),"")</f>
        <v>30</v>
      </c>
      <c r="BA8" s="8" t="str">
        <f>IF(OR(표1_3[[#This Row],[등급]]="명서",(표1_3[[#This Row],[등급]]="고급")),IF(AP8="","",AP8*$AR8),"")</f>
        <v/>
      </c>
      <c r="BB8" s="8" t="str">
        <f>IF(OR(표1_3[[#This Row],[등급]]="명서",(표1_3[[#This Row],[등급]]="고급")),IF(AQ8="","",AQ8*$AR8),"")</f>
        <v/>
      </c>
    </row>
    <row r="9" spans="1:54" x14ac:dyDescent="0.3">
      <c r="A9" s="5" t="s">
        <v>11</v>
      </c>
      <c r="B9" s="6" t="s">
        <v>12</v>
      </c>
      <c r="C9" s="203" t="s">
        <v>799</v>
      </c>
      <c r="D9" s="7" t="s">
        <v>187</v>
      </c>
      <c r="E9" s="7">
        <f t="array" ref="E9">INDEX(표1[내 책 등급], MATCH(1, (표1[사용자] ='성장 시뮬레이터'!$B$1) * (표1[책이름] = D9), 0))</f>
        <v>10</v>
      </c>
      <c r="F9" s="6" t="s">
        <v>14</v>
      </c>
      <c r="G9" s="142">
        <v>105</v>
      </c>
      <c r="H9" s="8" t="str">
        <f>IF(ISNUMBER(SEARCH("여", F9)), IF('성장 시뮬레이터'!$C$9=2, "O", "X"), "O")</f>
        <v>O</v>
      </c>
      <c r="I9" s="8" t="str">
        <f>IF(OR(ISNUMBER(SEARCH("위나라", F9)), ISNUMBER(SEARCH("촉나라", F9)), ISNUMBER(SEARCH("오나라", F9)), ISNUMBER(SEARCH("군웅", F9))), IF(ISNUMBER(SEARCH('성장 시뮬레이터'!$C$10, F9)), "O", "X"), "O")</f>
        <v>O</v>
      </c>
      <c r="J9" s="8" t="str">
        <f>IF(
    AND(
        H9="O",
        I9="O",
        IF(ISNUMBER(SEARCH("무력+지력", F9)), ('성장 시뮬레이터'!$G$5+'성장 시뮬레이터'!$G$6) &gt;= G9,
           IF(ISNUMBER(SEARCH("무력", F9)), '성장 시뮬레이터'!$G$5 &gt;= G9,
           IF(ISNUMBER(SEARCH("지력", F9)), '성장 시뮬레이터'!$G$6 &gt;= G9,
           IF(ISNUMBER(SEARCH("내력", F9)), '성장 시뮬레이터'!$G$7 &gt;= G9,
           IF(ISNUMBER(SEARCH("체력", F9)), '성장 시뮬레이터'!$G$8 &gt;= G9, FALSE)))))
    ), "O", "X")</f>
        <v>X</v>
      </c>
      <c r="K9" s="106" t="str">
        <f>IF(
    AND(
        H9="O",
        I9="O",
        IF(ISNUMBER(SEARCH("무력+지력", F9)), ('성장 시뮬레이터'!$I$5+'성장 시뮬레이터'!$I$6) &gt;= G9,
           IF(ISNUMBER(SEARCH("무력", F9)), '성장 시뮬레이터'!$I$5 &gt;= G9,
           IF(ISNUMBER(SEARCH("지력", F9)), '성장 시뮬레이터'!$I$6 &gt;= G9,
           IF(ISNUMBER(SEARCH("내력", F9)), '성장 시뮬레이터'!$I$7 &gt;= G9,
           IF(ISNUMBER(SEARCH("체력", F9)), '성장 시뮬레이터'!$I$8 &gt;= G9, FALSE)))))
    ), "O", "X")</f>
        <v>O</v>
      </c>
      <c r="L9" s="106" t="str">
        <f>IF(
    AND(
        H9="O",
        I9="O",
        IF(ISNUMBER(SEARCH("무력+지력", F9)), ('성장 시뮬레이터'!$K$5+'성장 시뮬레이터'!$K$6) &gt;= G9,
           IF(ISNUMBER(SEARCH("무력", F9)), '성장 시뮬레이터'!$K$5 &gt;= G9,
           IF(ISNUMBER(SEARCH("지력", F9)), '성장 시뮬레이터'!$K$6 &gt;= G9,
           IF(ISNUMBER(SEARCH("내력", F9)), '성장 시뮬레이터'!$K$7 &gt;= G9,
           IF(ISNUMBER(SEARCH("체력", F9)), '성장 시뮬레이터'!$K$8 &gt;= G9, FALSE)))))
    ), "O", "X")</f>
        <v>O</v>
      </c>
      <c r="M9" s="106" t="str">
        <f>IF(
    AND(
        H9="O",
        I9="O",
        IF(ISNUMBER(SEARCH("무력+지력", F9)), ('성장 시뮬레이터'!$M$5+'성장 시뮬레이터'!$M$6) &gt;= G9,
           IF(ISNUMBER(SEARCH("무력", F9)), '성장 시뮬레이터'!$M$5 &gt;= G9,
           IF(ISNUMBER(SEARCH("지력", F9)), '성장 시뮬레이터'!$M$6 &gt;= G9,
           IF(ISNUMBER(SEARCH("내력", F9)), '성장 시뮬레이터'!$M$7 &gt;= G9,
           IF(ISNUMBER(SEARCH("체력", F9)), '성장 시뮬레이터'!$M$8 &gt;= G9, FALSE)))))
    ), "O", "X")</f>
        <v>O</v>
      </c>
      <c r="N9" s="106" t="str">
        <f>IF(
    AND(
        H9="O",
        I9="O",
        IF(ISNUMBER(SEARCH("무력+지력", F9)), ('성장 시뮬레이터'!$O$5+'성장 시뮬레이터'!$O$6) &gt;= G9,
           IF(ISNUMBER(SEARCH("무력", F9)), '성장 시뮬레이터'!$O$5 &gt;= G9,
           IF(ISNUMBER(SEARCH("지력", F9)), '성장 시뮬레이터'!$O$6 &gt;= G9,
           IF(ISNUMBER(SEARCH("내력", F9)), '성장 시뮬레이터'!$O$7 &gt;= G9,
           IF(ISNUMBER(SEARCH("체력", F9)), '성장 시뮬레이터'!$O$8 &gt;= G9, FALSE)))))
    ), "O", "X")</f>
        <v>O</v>
      </c>
      <c r="O9" s="106" t="str">
        <f>IF(
    AND(
        H9="O",
        I9="O",
        IF(ISNUMBER(SEARCH("무력+지력", F9)), ('성장 시뮬레이터'!$Q$5+'성장 시뮬레이터'!$Q$6) &gt;= G9,
           IF(ISNUMBER(SEARCH("무력", F9)), '성장 시뮬레이터'!$Q$5 &gt;= G9,
           IF(ISNUMBER(SEARCH("지력", F9)), '성장 시뮬레이터'!$Q$6 &gt;= G9,
           IF(ISNUMBER(SEARCH("내력", F9)), '성장 시뮬레이터'!$Q$7 &gt;= G9,
           IF(ISNUMBER(SEARCH("체력", F9)), '성장 시뮬레이터'!$Q$8 &gt;= G9, FALSE)))))
    ), "O", "X")</f>
        <v>O</v>
      </c>
      <c r="P9" s="106" t="s">
        <v>904</v>
      </c>
      <c r="Q9" s="142" t="str">
        <f t="shared" si="0"/>
        <v/>
      </c>
      <c r="R9" s="142">
        <f t="shared" si="1"/>
        <v>260</v>
      </c>
      <c r="S9" s="142" t="str">
        <f t="shared" si="2"/>
        <v/>
      </c>
      <c r="T9" s="142" t="str">
        <f t="shared" si="3"/>
        <v/>
      </c>
      <c r="U9" s="142" t="str">
        <f t="shared" si="4"/>
        <v/>
      </c>
      <c r="V9" s="142" t="str">
        <f t="shared" si="5"/>
        <v/>
      </c>
      <c r="W9" s="142">
        <f t="shared" si="6"/>
        <v>130</v>
      </c>
      <c r="X9" s="142" t="str">
        <f t="shared" si="7"/>
        <v/>
      </c>
      <c r="Y9" s="142" t="str">
        <f t="shared" si="8"/>
        <v/>
      </c>
      <c r="Z9" s="142" t="str">
        <f t="shared" si="9"/>
        <v/>
      </c>
      <c r="AA9" s="9" t="s">
        <v>31</v>
      </c>
      <c r="AB9" s="9"/>
      <c r="AC9" s="9"/>
      <c r="AD9" s="9"/>
      <c r="AE9" s="10"/>
      <c r="AF9" s="143" t="s">
        <v>32</v>
      </c>
      <c r="AH9" s="8"/>
      <c r="AI9" s="8">
        <v>40</v>
      </c>
      <c r="AJ9" s="8"/>
      <c r="AK9" s="8"/>
      <c r="AL9" s="8"/>
      <c r="AM9" s="8"/>
      <c r="AN9" s="8">
        <v>20</v>
      </c>
      <c r="AO9" s="8"/>
      <c r="AP9" s="8"/>
      <c r="AQ9" s="8"/>
      <c r="AR9" s="103">
        <v>1.5</v>
      </c>
      <c r="AS9" s="8" t="str">
        <f>IF(OR(표1_3[[#This Row],[등급]]="명서",(표1_3[[#This Row],[등급]]="고급")),IF(AH9="","",AH9*$AR9),"")</f>
        <v/>
      </c>
      <c r="AT9" s="8">
        <f>IF(OR(표1_3[[#This Row],[등급]]="명서",(표1_3[[#This Row],[등급]]="고급")),IF(AI9="","",AI9*$AR9),"")</f>
        <v>60</v>
      </c>
      <c r="AU9" s="8" t="str">
        <f>IF(OR(표1_3[[#This Row],[등급]]="명서",(표1_3[[#This Row],[등급]]="고급")),IF(AJ9="","",AJ9*$AR9),"")</f>
        <v/>
      </c>
      <c r="AV9" s="8" t="str">
        <f>IF(OR(표1_3[[#This Row],[등급]]="명서",(표1_3[[#This Row],[등급]]="고급")),IF(AK9="","",AK9*$AR9),"")</f>
        <v/>
      </c>
      <c r="AW9" s="8" t="str">
        <f>IF(OR(표1_3[[#This Row],[등급]]="명서",(표1_3[[#This Row],[등급]]="고급")),IF(AL9="","",AL9*$AR9),"")</f>
        <v/>
      </c>
      <c r="AX9" s="8" t="str">
        <f>IF(OR(표1_3[[#This Row],[등급]]="명서",(표1_3[[#This Row],[등급]]="고급")),IF(AM9="","",AM9*$AR9),"")</f>
        <v/>
      </c>
      <c r="AY9" s="8">
        <f>IF(OR(표1_3[[#This Row],[등급]]="명서",(표1_3[[#This Row],[등급]]="고급")),IF(AN9="","",AN9*$AR9),"")</f>
        <v>30</v>
      </c>
      <c r="AZ9" s="8" t="str">
        <f>IF(OR(표1_3[[#This Row],[등급]]="명서",(표1_3[[#This Row],[등급]]="고급")),IF(AO9="","",AO9*$AR9),"")</f>
        <v/>
      </c>
      <c r="BA9" s="8" t="str">
        <f>IF(OR(표1_3[[#This Row],[등급]]="명서",(표1_3[[#This Row],[등급]]="고급")),IF(AP9="","",AP9*$AR9),"")</f>
        <v/>
      </c>
      <c r="BB9" s="8" t="str">
        <f>IF(OR(표1_3[[#This Row],[등급]]="명서",(표1_3[[#This Row],[등급]]="고급")),IF(AQ9="","",AQ9*$AR9),"")</f>
        <v/>
      </c>
    </row>
    <row r="10" spans="1:54" x14ac:dyDescent="0.3">
      <c r="A10" s="5" t="s">
        <v>11</v>
      </c>
      <c r="B10" s="6" t="s">
        <v>12</v>
      </c>
      <c r="C10" s="6" t="s">
        <v>798</v>
      </c>
      <c r="D10" s="7" t="s">
        <v>33</v>
      </c>
      <c r="E10" s="7">
        <f t="array" ref="E10">INDEX(표1[내 책 등급], MATCH(1, (표1[사용자] ='성장 시뮬레이터'!$B$1) * (표1[책이름] = D10), 0))</f>
        <v>8</v>
      </c>
      <c r="F10" s="6" t="s">
        <v>18</v>
      </c>
      <c r="G10" s="142">
        <v>185</v>
      </c>
      <c r="H10" s="8" t="str">
        <f>IF(ISNUMBER(SEARCH("여", F10)), IF('성장 시뮬레이터'!$C$9=2, "O", "X"), "O")</f>
        <v>O</v>
      </c>
      <c r="I10" s="8" t="str">
        <f>IF(OR(ISNUMBER(SEARCH("위나라", F10)), ISNUMBER(SEARCH("촉나라", F10)), ISNUMBER(SEARCH("오나라", F10)), ISNUMBER(SEARCH("군웅", F10))), IF(ISNUMBER(SEARCH('성장 시뮬레이터'!$C$10, F10)), "O", "X"), "O")</f>
        <v>O</v>
      </c>
      <c r="J10" s="8" t="str">
        <f>IF(
    AND(
        H10="O",
        I10="O",
        IF(ISNUMBER(SEARCH("무력+지력", F10)), ('성장 시뮬레이터'!$G$5+'성장 시뮬레이터'!$G$6) &gt;= G10,
           IF(ISNUMBER(SEARCH("무력", F10)), '성장 시뮬레이터'!$G$5 &gt;= G10,
           IF(ISNUMBER(SEARCH("지력", F10)), '성장 시뮬레이터'!$G$6 &gt;= G10,
           IF(ISNUMBER(SEARCH("내력", F10)), '성장 시뮬레이터'!$G$7 &gt;= G10,
           IF(ISNUMBER(SEARCH("체력", F10)), '성장 시뮬레이터'!$G$8 &gt;= G10, FALSE)))))
    ), "O", "X")</f>
        <v>X</v>
      </c>
      <c r="K10" s="106" t="str">
        <f>IF(
    AND(
        H10="O",
        I10="O",
        IF(ISNUMBER(SEARCH("무력+지력", F10)), ('성장 시뮬레이터'!$I$5+'성장 시뮬레이터'!$I$6) &gt;= G10,
           IF(ISNUMBER(SEARCH("무력", F10)), '성장 시뮬레이터'!$I$5 &gt;= G10,
           IF(ISNUMBER(SEARCH("지력", F10)), '성장 시뮬레이터'!$I$6 &gt;= G10,
           IF(ISNUMBER(SEARCH("내력", F10)), '성장 시뮬레이터'!$I$7 &gt;= G10,
           IF(ISNUMBER(SEARCH("체력", F10)), '성장 시뮬레이터'!$I$8 &gt;= G10, FALSE)))))
    ), "O", "X")</f>
        <v>O</v>
      </c>
      <c r="L10" s="106" t="str">
        <f>IF(
    AND(
        H10="O",
        I10="O",
        IF(ISNUMBER(SEARCH("무력+지력", F10)), ('성장 시뮬레이터'!$K$5+'성장 시뮬레이터'!$K$6) &gt;= G10,
           IF(ISNUMBER(SEARCH("무력", F10)), '성장 시뮬레이터'!$K$5 &gt;= G10,
           IF(ISNUMBER(SEARCH("지력", F10)), '성장 시뮬레이터'!$K$6 &gt;= G10,
           IF(ISNUMBER(SEARCH("내력", F10)), '성장 시뮬레이터'!$K$7 &gt;= G10,
           IF(ISNUMBER(SEARCH("체력", F10)), '성장 시뮬레이터'!$K$8 &gt;= G10, FALSE)))))
    ), "O", "X")</f>
        <v>O</v>
      </c>
      <c r="M10" s="106" t="str">
        <f>IF(
    AND(
        H10="O",
        I10="O",
        IF(ISNUMBER(SEARCH("무력+지력", F10)), ('성장 시뮬레이터'!$M$5+'성장 시뮬레이터'!$M$6) &gt;= G10,
           IF(ISNUMBER(SEARCH("무력", F10)), '성장 시뮬레이터'!$M$5 &gt;= G10,
           IF(ISNUMBER(SEARCH("지력", F10)), '성장 시뮬레이터'!$M$6 &gt;= G10,
           IF(ISNUMBER(SEARCH("내력", F10)), '성장 시뮬레이터'!$M$7 &gt;= G10,
           IF(ISNUMBER(SEARCH("체력", F10)), '성장 시뮬레이터'!$M$8 &gt;= G10, FALSE)))))
    ), "O", "X")</f>
        <v>O</v>
      </c>
      <c r="N10" s="106" t="str">
        <f>IF(
    AND(
        H10="O",
        I10="O",
        IF(ISNUMBER(SEARCH("무력+지력", F10)), ('성장 시뮬레이터'!$O$5+'성장 시뮬레이터'!$O$6) &gt;= G10,
           IF(ISNUMBER(SEARCH("무력", F10)), '성장 시뮬레이터'!$O$5 &gt;= G10,
           IF(ISNUMBER(SEARCH("지력", F10)), '성장 시뮬레이터'!$O$6 &gt;= G10,
           IF(ISNUMBER(SEARCH("내력", F10)), '성장 시뮬레이터'!$O$7 &gt;= G10,
           IF(ISNUMBER(SEARCH("체력", F10)), '성장 시뮬레이터'!$O$8 &gt;= G10, FALSE)))))
    ), "O", "X")</f>
        <v>O</v>
      </c>
      <c r="O10" s="106" t="str">
        <f>IF(
    AND(
        H10="O",
        I10="O",
        IF(ISNUMBER(SEARCH("무력+지력", F10)), ('성장 시뮬레이터'!$Q$5+'성장 시뮬레이터'!$Q$6) &gt;= G10,
           IF(ISNUMBER(SEARCH("무력", F10)), '성장 시뮬레이터'!$Q$5 &gt;= G10,
           IF(ISNUMBER(SEARCH("지력", F10)), '성장 시뮬레이터'!$Q$6 &gt;= G10,
           IF(ISNUMBER(SEARCH("내력", F10)), '성장 시뮬레이터'!$Q$7 &gt;= G10,
           IF(ISNUMBER(SEARCH("체력", F10)), '성장 시뮬레이터'!$Q$8 &gt;= G10, FALSE)))))
    ), "O", "X")</f>
        <v>O</v>
      </c>
      <c r="P10" s="106" t="s">
        <v>904</v>
      </c>
      <c r="Q10" s="142">
        <f t="shared" si="0"/>
        <v>80</v>
      </c>
      <c r="R10" s="142" t="str">
        <f t="shared" si="1"/>
        <v/>
      </c>
      <c r="S10" s="142">
        <f t="shared" si="2"/>
        <v>160</v>
      </c>
      <c r="T10" s="142" t="str">
        <f t="shared" si="3"/>
        <v/>
      </c>
      <c r="U10" s="142" t="str">
        <f t="shared" si="4"/>
        <v/>
      </c>
      <c r="V10" s="142" t="str">
        <f t="shared" si="5"/>
        <v/>
      </c>
      <c r="W10" s="142" t="str">
        <f t="shared" si="6"/>
        <v/>
      </c>
      <c r="X10" s="142">
        <f t="shared" si="7"/>
        <v>80</v>
      </c>
      <c r="Y10" s="142" t="str">
        <f t="shared" si="8"/>
        <v/>
      </c>
      <c r="Z10" s="142" t="str">
        <f t="shared" si="9"/>
        <v/>
      </c>
      <c r="AA10" s="11" t="s">
        <v>28</v>
      </c>
      <c r="AB10" s="11"/>
      <c r="AC10" s="11"/>
      <c r="AD10" s="11"/>
      <c r="AE10" s="12"/>
      <c r="AF10" s="144" t="s">
        <v>29</v>
      </c>
      <c r="AH10" s="8">
        <v>20</v>
      </c>
      <c r="AI10" s="8"/>
      <c r="AJ10" s="8">
        <v>40</v>
      </c>
      <c r="AK10" s="8"/>
      <c r="AL10" s="8"/>
      <c r="AM10" s="8"/>
      <c r="AN10" s="8"/>
      <c r="AO10" s="8">
        <v>20</v>
      </c>
      <c r="AP10" s="8"/>
      <c r="AQ10" s="8"/>
      <c r="AR10" s="103">
        <v>1.5</v>
      </c>
      <c r="AS10" s="8">
        <f>IF(OR(표1_3[[#This Row],[등급]]="명서",(표1_3[[#This Row],[등급]]="고급")),IF(AH10="","",AH10*$AR10),"")</f>
        <v>30</v>
      </c>
      <c r="AT10" s="8" t="str">
        <f>IF(OR(표1_3[[#This Row],[등급]]="명서",(표1_3[[#This Row],[등급]]="고급")),IF(AI10="","",AI10*$AR10),"")</f>
        <v/>
      </c>
      <c r="AU10" s="8">
        <f>IF(OR(표1_3[[#This Row],[등급]]="명서",(표1_3[[#This Row],[등급]]="고급")),IF(AJ10="","",AJ10*$AR10),"")</f>
        <v>60</v>
      </c>
      <c r="AV10" s="8" t="str">
        <f>IF(OR(표1_3[[#This Row],[등급]]="명서",(표1_3[[#This Row],[등급]]="고급")),IF(AK10="","",AK10*$AR10),"")</f>
        <v/>
      </c>
      <c r="AW10" s="8" t="str">
        <f>IF(OR(표1_3[[#This Row],[등급]]="명서",(표1_3[[#This Row],[등급]]="고급")),IF(AL10="","",AL10*$AR10),"")</f>
        <v/>
      </c>
      <c r="AX10" s="8" t="str">
        <f>IF(OR(표1_3[[#This Row],[등급]]="명서",(표1_3[[#This Row],[등급]]="고급")),IF(AM10="","",AM10*$AR10),"")</f>
        <v/>
      </c>
      <c r="AY10" s="8" t="str">
        <f>IF(OR(표1_3[[#This Row],[등급]]="명서",(표1_3[[#This Row],[등급]]="고급")),IF(AN10="","",AN10*$AR10),"")</f>
        <v/>
      </c>
      <c r="AZ10" s="8">
        <f>IF(OR(표1_3[[#This Row],[등급]]="명서",(표1_3[[#This Row],[등급]]="고급")),IF(AO10="","",AO10*$AR10),"")</f>
        <v>30</v>
      </c>
      <c r="BA10" s="8" t="str">
        <f>IF(OR(표1_3[[#This Row],[등급]]="명서",(표1_3[[#This Row],[등급]]="고급")),IF(AP10="","",AP10*$AR10),"")</f>
        <v/>
      </c>
      <c r="BB10" s="8" t="str">
        <f>IF(OR(표1_3[[#This Row],[등급]]="명서",(표1_3[[#This Row],[등급]]="고급")),IF(AQ10="","",AQ10*$AR10),"")</f>
        <v/>
      </c>
    </row>
    <row r="11" spans="1:54" x14ac:dyDescent="0.3">
      <c r="A11" s="5" t="s">
        <v>11</v>
      </c>
      <c r="B11" s="6" t="s">
        <v>12</v>
      </c>
      <c r="C11" s="6" t="s">
        <v>797</v>
      </c>
      <c r="D11" s="105" t="s">
        <v>179</v>
      </c>
      <c r="E11" s="7">
        <f t="array" ref="E11">INDEX(표1[내 책 등급], MATCH(1, (표1[사용자] ='성장 시뮬레이터'!$B$1) * (표1[책이름] = D11), 0))</f>
        <v>10</v>
      </c>
      <c r="F11" s="106" t="s">
        <v>197</v>
      </c>
      <c r="G11" s="147">
        <v>105</v>
      </c>
      <c r="H11" s="106" t="str">
        <f>IF(ISNUMBER(SEARCH("여", F11)), IF('성장 시뮬레이터'!$C$9=2, "O", "X"), "O")</f>
        <v>O</v>
      </c>
      <c r="I11" s="106" t="str">
        <f>IF(OR(ISNUMBER(SEARCH("위나라", F11)), ISNUMBER(SEARCH("촉나라", F11)), ISNUMBER(SEARCH("오나라", F11)), ISNUMBER(SEARCH("군웅", F11))), IF(ISNUMBER(SEARCH('성장 시뮬레이터'!$C$10, F11)), "O", "X"), "O")</f>
        <v>O</v>
      </c>
      <c r="J11" s="8" t="str">
        <f>IF(
    AND(
        H11="O",
        I11="O",
        IF(ISNUMBER(SEARCH("무력+지력", F11)), ('성장 시뮬레이터'!$G$5+'성장 시뮬레이터'!$G$6) &gt;= G11,
           IF(ISNUMBER(SEARCH("무력", F11)), '성장 시뮬레이터'!$G$5 &gt;= G11,
           IF(ISNUMBER(SEARCH("지력", F11)), '성장 시뮬레이터'!$G$6 &gt;= G11,
           IF(ISNUMBER(SEARCH("내력", F11)), '성장 시뮬레이터'!$G$7 &gt;= G11,
           IF(ISNUMBER(SEARCH("체력", F11)), '성장 시뮬레이터'!$G$8 &gt;= G11, FALSE)))))
    ), "O", "X")</f>
        <v>X</v>
      </c>
      <c r="K11" s="106" t="str">
        <f>IF(
    AND(
        H11="O",
        I11="O",
        IF(ISNUMBER(SEARCH("무력+지력", F11)), ('성장 시뮬레이터'!$I$5+'성장 시뮬레이터'!$I$6) &gt;= G11,
           IF(ISNUMBER(SEARCH("무력", F11)), '성장 시뮬레이터'!$I$5 &gt;= G11,
           IF(ISNUMBER(SEARCH("지력", F11)), '성장 시뮬레이터'!$I$6 &gt;= G11,
           IF(ISNUMBER(SEARCH("내력", F11)), '성장 시뮬레이터'!$I$7 &gt;= G11,
           IF(ISNUMBER(SEARCH("체력", F11)), '성장 시뮬레이터'!$I$8 &gt;= G11, FALSE)))))
    ), "O", "X")</f>
        <v>X</v>
      </c>
      <c r="L11" s="106" t="str">
        <f>IF(
    AND(
        H11="O",
        I11="O",
        IF(ISNUMBER(SEARCH("무력+지력", F11)), ('성장 시뮬레이터'!$K$5+'성장 시뮬레이터'!$K$6) &gt;= G11,
           IF(ISNUMBER(SEARCH("무력", F11)), '성장 시뮬레이터'!$K$5 &gt;= G11,
           IF(ISNUMBER(SEARCH("지력", F11)), '성장 시뮬레이터'!$K$6 &gt;= G11,
           IF(ISNUMBER(SEARCH("내력", F11)), '성장 시뮬레이터'!$K$7 &gt;= G11,
           IF(ISNUMBER(SEARCH("체력", F11)), '성장 시뮬레이터'!$K$8 &gt;= G11, FALSE)))))
    ), "O", "X")</f>
        <v>X</v>
      </c>
      <c r="M11" s="106" t="str">
        <f>IF(
    AND(
        H11="O",
        I11="O",
        IF(ISNUMBER(SEARCH("무력+지력", F11)), ('성장 시뮬레이터'!$M$5+'성장 시뮬레이터'!$M$6) &gt;= G11,
           IF(ISNUMBER(SEARCH("무력", F11)), '성장 시뮬레이터'!$M$5 &gt;= G11,
           IF(ISNUMBER(SEARCH("지력", F11)), '성장 시뮬레이터'!$M$6 &gt;= G11,
           IF(ISNUMBER(SEARCH("내력", F11)), '성장 시뮬레이터'!$M$7 &gt;= G11,
           IF(ISNUMBER(SEARCH("체력", F11)), '성장 시뮬레이터'!$M$8 &gt;= G11, FALSE)))))
    ), "O", "X")</f>
        <v>X</v>
      </c>
      <c r="N11" s="106" t="str">
        <f>IF(
    AND(
        H11="O",
        I11="O",
        IF(ISNUMBER(SEARCH("무력+지력", F11)), ('성장 시뮬레이터'!$O$5+'성장 시뮬레이터'!$O$6) &gt;= G11,
           IF(ISNUMBER(SEARCH("무력", F11)), '성장 시뮬레이터'!$O$5 &gt;= G11,
           IF(ISNUMBER(SEARCH("지력", F11)), '성장 시뮬레이터'!$O$6 &gt;= G11,
           IF(ISNUMBER(SEARCH("내력", F11)), '성장 시뮬레이터'!$O$7 &gt;= G11,
           IF(ISNUMBER(SEARCH("체력", F11)), '성장 시뮬레이터'!$O$8 &gt;= G11, FALSE)))))
    ), "O", "X")</f>
        <v>X</v>
      </c>
      <c r="O11" s="106" t="str">
        <f>IF(
    AND(
        H11="O",
        I11="O",
        IF(ISNUMBER(SEARCH("무력+지력", F11)), ('성장 시뮬레이터'!$Q$5+'성장 시뮬레이터'!$Q$6) &gt;= G11,
           IF(ISNUMBER(SEARCH("무력", F11)), '성장 시뮬레이터'!$Q$5 &gt;= G11,
           IF(ISNUMBER(SEARCH("지력", F11)), '성장 시뮬레이터'!$Q$6 &gt;= G11,
           IF(ISNUMBER(SEARCH("내력", F11)), '성장 시뮬레이터'!$Q$7 &gt;= G11,
           IF(ISNUMBER(SEARCH("체력", F11)), '성장 시뮬레이터'!$Q$8 &gt;= G11, FALSE)))))
    ), "O", "X")</f>
        <v>X</v>
      </c>
      <c r="P11" s="106" t="s">
        <v>905</v>
      </c>
      <c r="Q11" s="142">
        <f t="shared" si="0"/>
        <v>260</v>
      </c>
      <c r="R11" s="142" t="str">
        <f t="shared" si="1"/>
        <v/>
      </c>
      <c r="S11" s="142">
        <f t="shared" si="2"/>
        <v>130</v>
      </c>
      <c r="T11" s="142" t="str">
        <f t="shared" si="3"/>
        <v/>
      </c>
      <c r="U11" s="142" t="str">
        <f t="shared" si="4"/>
        <v/>
      </c>
      <c r="V11" s="142">
        <f t="shared" si="5"/>
        <v>130</v>
      </c>
      <c r="W11" s="142" t="str">
        <f t="shared" si="6"/>
        <v/>
      </c>
      <c r="X11" s="142" t="str">
        <f t="shared" si="7"/>
        <v/>
      </c>
      <c r="Y11" s="142" t="str">
        <f t="shared" si="8"/>
        <v/>
      </c>
      <c r="Z11" s="142" t="str">
        <f t="shared" si="9"/>
        <v/>
      </c>
      <c r="AA11" s="107" t="s">
        <v>198</v>
      </c>
      <c r="AB11" s="107"/>
      <c r="AC11" s="107"/>
      <c r="AD11" s="107"/>
      <c r="AE11" s="107"/>
      <c r="AF11" s="146" t="s">
        <v>199</v>
      </c>
      <c r="AH11" s="8">
        <v>40</v>
      </c>
      <c r="AI11" s="8"/>
      <c r="AJ11" s="8">
        <v>20</v>
      </c>
      <c r="AK11" s="8"/>
      <c r="AL11" s="8"/>
      <c r="AM11" s="8">
        <v>20</v>
      </c>
      <c r="AN11" s="8"/>
      <c r="AO11" s="8"/>
      <c r="AP11" s="8"/>
      <c r="AQ11" s="8"/>
      <c r="AR11" s="103">
        <v>1.5</v>
      </c>
      <c r="AS11" s="8">
        <f>IF(OR(표1_3[[#This Row],[등급]]="명서",(표1_3[[#This Row],[등급]]="고급")),IF(AH11="","",AH11*$AR11),"")</f>
        <v>60</v>
      </c>
      <c r="AT11" s="8" t="str">
        <f>IF(OR(표1_3[[#This Row],[등급]]="명서",(표1_3[[#This Row],[등급]]="고급")),IF(AI11="","",AI11*$AR11),"")</f>
        <v/>
      </c>
      <c r="AU11" s="8">
        <f>IF(OR(표1_3[[#This Row],[등급]]="명서",(표1_3[[#This Row],[등급]]="고급")),IF(AJ11="","",AJ11*$AR11),"")</f>
        <v>30</v>
      </c>
      <c r="AV11" s="8" t="str">
        <f>IF(OR(표1_3[[#This Row],[등급]]="명서",(표1_3[[#This Row],[등급]]="고급")),IF(AK11="","",AK11*$AR11),"")</f>
        <v/>
      </c>
      <c r="AW11" s="8" t="str">
        <f>IF(OR(표1_3[[#This Row],[등급]]="명서",(표1_3[[#This Row],[등급]]="고급")),IF(AL11="","",AL11*$AR11),"")</f>
        <v/>
      </c>
      <c r="AX11" s="8">
        <f>IF(OR(표1_3[[#This Row],[등급]]="명서",(표1_3[[#This Row],[등급]]="고급")),IF(AM11="","",AM11*$AR11),"")</f>
        <v>30</v>
      </c>
      <c r="AY11" s="8" t="str">
        <f>IF(OR(표1_3[[#This Row],[등급]]="명서",(표1_3[[#This Row],[등급]]="고급")),IF(AN11="","",AN11*$AR11),"")</f>
        <v/>
      </c>
      <c r="AZ11" s="8" t="str">
        <f>IF(OR(표1_3[[#This Row],[등급]]="명서",(표1_3[[#This Row],[등급]]="고급")),IF(AO11="","",AO11*$AR11),"")</f>
        <v/>
      </c>
      <c r="BA11" s="8" t="str">
        <f>IF(OR(표1_3[[#This Row],[등급]]="명서",(표1_3[[#This Row],[등급]]="고급")),IF(AP11="","",AP11*$AR11),"")</f>
        <v/>
      </c>
      <c r="BB11" s="8" t="str">
        <f>IF(OR(표1_3[[#This Row],[등급]]="명서",(표1_3[[#This Row],[등급]]="고급")),IF(AQ11="","",AQ11*$AR11),"")</f>
        <v/>
      </c>
    </row>
    <row r="12" spans="1:54" x14ac:dyDescent="0.3">
      <c r="A12" s="5" t="s">
        <v>11</v>
      </c>
      <c r="B12" s="6" t="s">
        <v>12</v>
      </c>
      <c r="C12" s="6" t="s">
        <v>797</v>
      </c>
      <c r="D12" s="105" t="s">
        <v>180</v>
      </c>
      <c r="E12" s="7">
        <f t="array" ref="E12">INDEX(표1[내 책 등급], MATCH(1, (표1[사용자] ='성장 시뮬레이터'!$B$1) * (표1[책이름] = D12), 0))</f>
        <v>9</v>
      </c>
      <c r="F12" s="106" t="s">
        <v>209</v>
      </c>
      <c r="G12" s="147">
        <v>98</v>
      </c>
      <c r="H12" s="106" t="str">
        <f>IF(ISNUMBER(SEARCH("여", F12)), IF('성장 시뮬레이터'!$C$9=2, "O", "X"), "O")</f>
        <v>X</v>
      </c>
      <c r="I12" s="106" t="str">
        <f>IF(OR(ISNUMBER(SEARCH("위나라", F12)), ISNUMBER(SEARCH("촉나라", F12)), ISNUMBER(SEARCH("오나라", F12)), ISNUMBER(SEARCH("군웅", F12))), IF(ISNUMBER(SEARCH('성장 시뮬레이터'!$C$10, F12)), "O", "X"), "O")</f>
        <v>O</v>
      </c>
      <c r="J12" s="8" t="str">
        <f>IF(
    AND(
        H12="O",
        I12="O",
        IF(ISNUMBER(SEARCH("무력+지력", F12)), ('성장 시뮬레이터'!$G$5+'성장 시뮬레이터'!$G$6) &gt;= G12,
           IF(ISNUMBER(SEARCH("무력", F12)), '성장 시뮬레이터'!$G$5 &gt;= G12,
           IF(ISNUMBER(SEARCH("지력", F12)), '성장 시뮬레이터'!$G$6 &gt;= G12,
           IF(ISNUMBER(SEARCH("내력", F12)), '성장 시뮬레이터'!$G$7 &gt;= G12,
           IF(ISNUMBER(SEARCH("체력", F12)), '성장 시뮬레이터'!$G$8 &gt;= G12, FALSE)))))
    ), "O", "X")</f>
        <v>X</v>
      </c>
      <c r="K12" s="106" t="str">
        <f>IF(
    AND(
        H12="O",
        I12="O",
        IF(ISNUMBER(SEARCH("무력+지력", F12)), ('성장 시뮬레이터'!$I$5+'성장 시뮬레이터'!$I$6) &gt;= G12,
           IF(ISNUMBER(SEARCH("무력", F12)), '성장 시뮬레이터'!$I$5 &gt;= G12,
           IF(ISNUMBER(SEARCH("지력", F12)), '성장 시뮬레이터'!$I$6 &gt;= G12,
           IF(ISNUMBER(SEARCH("내력", F12)), '성장 시뮬레이터'!$I$7 &gt;= G12,
           IF(ISNUMBER(SEARCH("체력", F12)), '성장 시뮬레이터'!$I$8 &gt;= G12, FALSE)))))
    ), "O", "X")</f>
        <v>X</v>
      </c>
      <c r="L12" s="106" t="str">
        <f>IF(
    AND(
        H12="O",
        I12="O",
        IF(ISNUMBER(SEARCH("무력+지력", F12)), ('성장 시뮬레이터'!$K$5+'성장 시뮬레이터'!$K$6) &gt;= G12,
           IF(ISNUMBER(SEARCH("무력", F12)), '성장 시뮬레이터'!$K$5 &gt;= G12,
           IF(ISNUMBER(SEARCH("지력", F12)), '성장 시뮬레이터'!$K$6 &gt;= G12,
           IF(ISNUMBER(SEARCH("내력", F12)), '성장 시뮬레이터'!$K$7 &gt;= G12,
           IF(ISNUMBER(SEARCH("체력", F12)), '성장 시뮬레이터'!$K$8 &gt;= G12, FALSE)))))
    ), "O", "X")</f>
        <v>X</v>
      </c>
      <c r="M12" s="106" t="str">
        <f>IF(
    AND(
        H12="O",
        I12="O",
        IF(ISNUMBER(SEARCH("무력+지력", F12)), ('성장 시뮬레이터'!$M$5+'성장 시뮬레이터'!$M$6) &gt;= G12,
           IF(ISNUMBER(SEARCH("무력", F12)), '성장 시뮬레이터'!$M$5 &gt;= G12,
           IF(ISNUMBER(SEARCH("지력", F12)), '성장 시뮬레이터'!$M$6 &gt;= G12,
           IF(ISNUMBER(SEARCH("내력", F12)), '성장 시뮬레이터'!$M$7 &gt;= G12,
           IF(ISNUMBER(SEARCH("체력", F12)), '성장 시뮬레이터'!$M$8 &gt;= G12, FALSE)))))
    ), "O", "X")</f>
        <v>X</v>
      </c>
      <c r="N12" s="106" t="str">
        <f>IF(
    AND(
        H12="O",
        I12="O",
        IF(ISNUMBER(SEARCH("무력+지력", F12)), ('성장 시뮬레이터'!$O$5+'성장 시뮬레이터'!$O$6) &gt;= G12,
           IF(ISNUMBER(SEARCH("무력", F12)), '성장 시뮬레이터'!$O$5 &gt;= G12,
           IF(ISNUMBER(SEARCH("지력", F12)), '성장 시뮬레이터'!$O$6 &gt;= G12,
           IF(ISNUMBER(SEARCH("내력", F12)), '성장 시뮬레이터'!$O$7 &gt;= G12,
           IF(ISNUMBER(SEARCH("체력", F12)), '성장 시뮬레이터'!$O$8 &gt;= G12, FALSE)))))
    ), "O", "X")</f>
        <v>X</v>
      </c>
      <c r="O12" s="106" t="str">
        <f>IF(
    AND(
        H12="O",
        I12="O",
        IF(ISNUMBER(SEARCH("무력+지력", F12)), ('성장 시뮬레이터'!$Q$5+'성장 시뮬레이터'!$Q$6) &gt;= G12,
           IF(ISNUMBER(SEARCH("무력", F12)), '성장 시뮬레이터'!$Q$5 &gt;= G12,
           IF(ISNUMBER(SEARCH("지력", F12)), '성장 시뮬레이터'!$Q$6 &gt;= G12,
           IF(ISNUMBER(SEARCH("내력", F12)), '성장 시뮬레이터'!$Q$7 &gt;= G12,
           IF(ISNUMBER(SEARCH("체력", F12)), '성장 시뮬레이터'!$Q$8 &gt;= G12, FALSE)))))
    ), "O", "X")</f>
        <v>X</v>
      </c>
      <c r="P12" s="106" t="s">
        <v>905</v>
      </c>
      <c r="Q12" s="142">
        <f t="shared" si="0"/>
        <v>200</v>
      </c>
      <c r="R12" s="142">
        <f t="shared" si="1"/>
        <v>150</v>
      </c>
      <c r="S12" s="142" t="str">
        <f t="shared" si="2"/>
        <v/>
      </c>
      <c r="T12" s="142" t="str">
        <f t="shared" si="3"/>
        <v/>
      </c>
      <c r="U12" s="142" t="str">
        <f t="shared" si="4"/>
        <v/>
      </c>
      <c r="V12" s="142" t="str">
        <f t="shared" si="5"/>
        <v/>
      </c>
      <c r="W12" s="142" t="str">
        <f t="shared" si="6"/>
        <v/>
      </c>
      <c r="X12" s="142" t="str">
        <f t="shared" si="7"/>
        <v/>
      </c>
      <c r="Y12" s="142" t="str">
        <f t="shared" si="8"/>
        <v/>
      </c>
      <c r="Z12" s="142" t="str">
        <f t="shared" si="9"/>
        <v/>
      </c>
      <c r="AA12" s="11" t="s">
        <v>53</v>
      </c>
      <c r="AB12" s="11"/>
      <c r="AC12" s="11"/>
      <c r="AD12" s="11"/>
      <c r="AE12" s="12"/>
      <c r="AF12" s="144" t="s">
        <v>54</v>
      </c>
      <c r="AH12" s="8">
        <v>40</v>
      </c>
      <c r="AI12" s="8">
        <v>30</v>
      </c>
      <c r="AJ12" s="8"/>
      <c r="AK12" s="8"/>
      <c r="AL12" s="8"/>
      <c r="AM12" s="8"/>
      <c r="AN12" s="8"/>
      <c r="AO12" s="8"/>
      <c r="AP12" s="8"/>
      <c r="AQ12" s="8"/>
      <c r="AR12" s="103">
        <v>1.5</v>
      </c>
      <c r="AS12" s="8">
        <f>IF(OR(표1_3[[#This Row],[등급]]="명서",(표1_3[[#This Row],[등급]]="고급")),IF(AH12="","",AH12*$AR12),"")</f>
        <v>60</v>
      </c>
      <c r="AT12" s="8">
        <f>IF(OR(표1_3[[#This Row],[등급]]="명서",(표1_3[[#This Row],[등급]]="고급")),IF(AI12="","",AI12*$AR12),"")</f>
        <v>45</v>
      </c>
      <c r="AU12" s="8" t="str">
        <f>IF(OR(표1_3[[#This Row],[등급]]="명서",(표1_3[[#This Row],[등급]]="고급")),IF(AJ12="","",AJ12*$AR12),"")</f>
        <v/>
      </c>
      <c r="AV12" s="8" t="str">
        <f>IF(OR(표1_3[[#This Row],[등급]]="명서",(표1_3[[#This Row],[등급]]="고급")),IF(AK12="","",AK12*$AR12),"")</f>
        <v/>
      </c>
      <c r="AW12" s="8" t="str">
        <f>IF(OR(표1_3[[#This Row],[등급]]="명서",(표1_3[[#This Row],[등급]]="고급")),IF(AL12="","",AL12*$AR12),"")</f>
        <v/>
      </c>
      <c r="AX12" s="8" t="str">
        <f>IF(OR(표1_3[[#This Row],[등급]]="명서",(표1_3[[#This Row],[등급]]="고급")),IF(AM12="","",AM12*$AR12),"")</f>
        <v/>
      </c>
      <c r="AY12" s="8" t="str">
        <f>IF(OR(표1_3[[#This Row],[등급]]="명서",(표1_3[[#This Row],[등급]]="고급")),IF(AN12="","",AN12*$AR12),"")</f>
        <v/>
      </c>
      <c r="AZ12" s="8" t="str">
        <f>IF(OR(표1_3[[#This Row],[등급]]="명서",(표1_3[[#This Row],[등급]]="고급")),IF(AO12="","",AO12*$AR12),"")</f>
        <v/>
      </c>
      <c r="BA12" s="8" t="str">
        <f>IF(OR(표1_3[[#This Row],[등급]]="명서",(표1_3[[#This Row],[등급]]="고급")),IF(AP12="","",AP12*$AR12),"")</f>
        <v/>
      </c>
      <c r="BB12" s="8" t="str">
        <f>IF(OR(표1_3[[#This Row],[등급]]="명서",(표1_3[[#This Row],[등급]]="고급")),IF(AQ12="","",AQ12*$AR12),"")</f>
        <v/>
      </c>
    </row>
    <row r="13" spans="1:54" x14ac:dyDescent="0.3">
      <c r="A13" s="5" t="s">
        <v>11</v>
      </c>
      <c r="B13" s="6" t="s">
        <v>12</v>
      </c>
      <c r="C13" s="6" t="s">
        <v>788</v>
      </c>
      <c r="D13" s="105" t="s">
        <v>215</v>
      </c>
      <c r="E13" s="7">
        <f t="array" ref="E13">INDEX(표1[내 책 등급], MATCH(1, (표1[사용자] ='성장 시뮬레이터'!$B$1) * (표1[책이름] = D13), 0))</f>
        <v>0</v>
      </c>
      <c r="F13" s="106" t="s">
        <v>173</v>
      </c>
      <c r="G13" s="147">
        <v>113</v>
      </c>
      <c r="H13" s="106" t="str">
        <f>IF(ISNUMBER(SEARCH("여", F13)), IF('성장 시뮬레이터'!$C$9=2, "O", "X"), "O")</f>
        <v>O</v>
      </c>
      <c r="I13" s="106" t="str">
        <f>IF(OR(ISNUMBER(SEARCH("위나라", F13)), ISNUMBER(SEARCH("촉나라", F13)), ISNUMBER(SEARCH("오나라", F13)), ISNUMBER(SEARCH("군웅", F13))), IF(ISNUMBER(SEARCH('성장 시뮬레이터'!$C$10, F13)), "O", "X"), "O")</f>
        <v>O</v>
      </c>
      <c r="J13" s="8" t="str">
        <f>IF(
    AND(
        H13="O",
        I13="O",
        IF(ISNUMBER(SEARCH("무력+지력", F13)), ('성장 시뮬레이터'!$G$5+'성장 시뮬레이터'!$G$6) &gt;= G13,
           IF(ISNUMBER(SEARCH("무력", F13)), '성장 시뮬레이터'!$G$5 &gt;= G13,
           IF(ISNUMBER(SEARCH("지력", F13)), '성장 시뮬레이터'!$G$6 &gt;= G13,
           IF(ISNUMBER(SEARCH("내력", F13)), '성장 시뮬레이터'!$G$7 &gt;= G13,
           IF(ISNUMBER(SEARCH("체력", F13)), '성장 시뮬레이터'!$G$8 &gt;= G13, FALSE)))))
    ), "O", "X")</f>
        <v>X</v>
      </c>
      <c r="K13" s="106" t="str">
        <f>IF(
    AND(
        H13="O",
        I13="O",
        IF(ISNUMBER(SEARCH("무력+지력", F13)), ('성장 시뮬레이터'!$I$5+'성장 시뮬레이터'!$I$6) &gt;= G13,
           IF(ISNUMBER(SEARCH("무력", F13)), '성장 시뮬레이터'!$I$5 &gt;= G13,
           IF(ISNUMBER(SEARCH("지력", F13)), '성장 시뮬레이터'!$I$6 &gt;= G13,
           IF(ISNUMBER(SEARCH("내력", F13)), '성장 시뮬레이터'!$I$7 &gt;= G13,
           IF(ISNUMBER(SEARCH("체력", F13)), '성장 시뮬레이터'!$I$8 &gt;= G13, FALSE)))))
    ), "O", "X")</f>
        <v>X</v>
      </c>
      <c r="L13" s="106" t="str">
        <f>IF(
    AND(
        H13="O",
        I13="O",
        IF(ISNUMBER(SEARCH("무력+지력", F13)), ('성장 시뮬레이터'!$K$5+'성장 시뮬레이터'!$K$6) &gt;= G13,
           IF(ISNUMBER(SEARCH("무력", F13)), '성장 시뮬레이터'!$K$5 &gt;= G13,
           IF(ISNUMBER(SEARCH("지력", F13)), '성장 시뮬레이터'!$K$6 &gt;= G13,
           IF(ISNUMBER(SEARCH("내력", F13)), '성장 시뮬레이터'!$K$7 &gt;= G13,
           IF(ISNUMBER(SEARCH("체력", F13)), '성장 시뮬레이터'!$K$8 &gt;= G13, FALSE)))))
    ), "O", "X")</f>
        <v>O</v>
      </c>
      <c r="M13" s="106" t="str">
        <f>IF(
    AND(
        H13="O",
        I13="O",
        IF(ISNUMBER(SEARCH("무력+지력", F13)), ('성장 시뮬레이터'!$M$5+'성장 시뮬레이터'!$M$6) &gt;= G13,
           IF(ISNUMBER(SEARCH("무력", F13)), '성장 시뮬레이터'!$M$5 &gt;= G13,
           IF(ISNUMBER(SEARCH("지력", F13)), '성장 시뮬레이터'!$M$6 &gt;= G13,
           IF(ISNUMBER(SEARCH("내력", F13)), '성장 시뮬레이터'!$M$7 &gt;= G13,
           IF(ISNUMBER(SEARCH("체력", F13)), '성장 시뮬레이터'!$M$8 &gt;= G13, FALSE)))))
    ), "O", "X")</f>
        <v>O</v>
      </c>
      <c r="N13" s="106" t="str">
        <f>IF(
    AND(
        H13="O",
        I13="O",
        IF(ISNUMBER(SEARCH("무력+지력", F13)), ('성장 시뮬레이터'!$O$5+'성장 시뮬레이터'!$O$6) &gt;= G13,
           IF(ISNUMBER(SEARCH("무력", F13)), '성장 시뮬레이터'!$O$5 &gt;= G13,
           IF(ISNUMBER(SEARCH("지력", F13)), '성장 시뮬레이터'!$O$6 &gt;= G13,
           IF(ISNUMBER(SEARCH("내력", F13)), '성장 시뮬레이터'!$O$7 &gt;= G13,
           IF(ISNUMBER(SEARCH("체력", F13)), '성장 시뮬레이터'!$O$8 &gt;= G13, FALSE)))))
    ), "O", "X")</f>
        <v>O</v>
      </c>
      <c r="O13" s="106" t="str">
        <f>IF(
    AND(
        H13="O",
        I13="O",
        IF(ISNUMBER(SEARCH("무력+지력", F13)), ('성장 시뮬레이터'!$Q$5+'성장 시뮬레이터'!$Q$6) &gt;= G13,
           IF(ISNUMBER(SEARCH("무력", F13)), '성장 시뮬레이터'!$Q$5 &gt;= G13,
           IF(ISNUMBER(SEARCH("지력", F13)), '성장 시뮬레이터'!$Q$6 &gt;= G13,
           IF(ISNUMBER(SEARCH("내력", F13)), '성장 시뮬레이터'!$Q$7 &gt;= G13,
           IF(ISNUMBER(SEARCH("체력", F13)), '성장 시뮬레이터'!$Q$8 &gt;= G13, FALSE)))))
    ), "O", "X")</f>
        <v>O</v>
      </c>
      <c r="P13" s="106" t="s">
        <v>904</v>
      </c>
      <c r="Q13" s="142" t="str">
        <f t="shared" si="0"/>
        <v/>
      </c>
      <c r="R13" s="142" t="str">
        <f t="shared" si="1"/>
        <v/>
      </c>
      <c r="S13" s="142" t="str">
        <f t="shared" si="2"/>
        <v/>
      </c>
      <c r="T13" s="142" t="str">
        <f t="shared" si="3"/>
        <v/>
      </c>
      <c r="U13" s="142" t="str">
        <f t="shared" si="4"/>
        <v/>
      </c>
      <c r="V13" s="142" t="str">
        <f t="shared" si="5"/>
        <v/>
      </c>
      <c r="W13" s="142" t="str">
        <f t="shared" si="6"/>
        <v/>
      </c>
      <c r="X13" s="142" t="str">
        <f t="shared" si="7"/>
        <v/>
      </c>
      <c r="Y13" s="142" t="str">
        <f t="shared" si="8"/>
        <v/>
      </c>
      <c r="Z13" s="142" t="str">
        <f t="shared" si="9"/>
        <v/>
      </c>
      <c r="AA13" s="107" t="s">
        <v>678</v>
      </c>
      <c r="AB13" s="107"/>
      <c r="AC13" s="107"/>
      <c r="AD13" s="107"/>
      <c r="AE13" s="107"/>
      <c r="AF13" s="146" t="s">
        <v>241</v>
      </c>
      <c r="AH13" s="8"/>
      <c r="AI13" s="8">
        <v>40</v>
      </c>
      <c r="AJ13" s="8">
        <v>20</v>
      </c>
      <c r="AK13" s="8"/>
      <c r="AL13" s="8"/>
      <c r="AM13" s="8"/>
      <c r="AN13" s="8"/>
      <c r="AO13" s="8"/>
      <c r="AP13" s="8">
        <v>20</v>
      </c>
      <c r="AQ13" s="8"/>
      <c r="AR13" s="103">
        <v>1.5</v>
      </c>
      <c r="AS13" s="8" t="str">
        <f>IF(OR(표1_3[[#This Row],[등급]]="명서",(표1_3[[#This Row],[등급]]="고급")),IF(AH13="","",AH13*$AR13),"")</f>
        <v/>
      </c>
      <c r="AT13" s="8">
        <f>IF(OR(표1_3[[#This Row],[등급]]="명서",(표1_3[[#This Row],[등급]]="고급")),IF(AI13="","",AI13*$AR13),"")</f>
        <v>60</v>
      </c>
      <c r="AU13" s="8">
        <f>IF(OR(표1_3[[#This Row],[등급]]="명서",(표1_3[[#This Row],[등급]]="고급")),IF(AJ13="","",AJ13*$AR13),"")</f>
        <v>30</v>
      </c>
      <c r="AV13" s="8" t="str">
        <f>IF(OR(표1_3[[#This Row],[등급]]="명서",(표1_3[[#This Row],[등급]]="고급")),IF(AK13="","",AK13*$AR13),"")</f>
        <v/>
      </c>
      <c r="AW13" s="8" t="str">
        <f>IF(OR(표1_3[[#This Row],[등급]]="명서",(표1_3[[#This Row],[등급]]="고급")),IF(AL13="","",AL13*$AR13),"")</f>
        <v/>
      </c>
      <c r="AX13" s="8" t="str">
        <f>IF(OR(표1_3[[#This Row],[등급]]="명서",(표1_3[[#This Row],[등급]]="고급")),IF(AM13="","",AM13*$AR13),"")</f>
        <v/>
      </c>
      <c r="AY13" s="8" t="str">
        <f>IF(OR(표1_3[[#This Row],[등급]]="명서",(표1_3[[#This Row],[등급]]="고급")),IF(AN13="","",AN13*$AR13),"")</f>
        <v/>
      </c>
      <c r="AZ13" s="8" t="str">
        <f>IF(OR(표1_3[[#This Row],[등급]]="명서",(표1_3[[#This Row],[등급]]="고급")),IF(AO13="","",AO13*$AR13),"")</f>
        <v/>
      </c>
      <c r="BA13" s="8">
        <f>IF(OR(표1_3[[#This Row],[등급]]="명서",(표1_3[[#This Row],[등급]]="고급")),IF(AP13="","",AP13*$AR13),"")</f>
        <v>30</v>
      </c>
      <c r="BB13" s="8" t="str">
        <f>IF(OR(표1_3[[#This Row],[등급]]="명서",(표1_3[[#This Row],[등급]]="고급")),IF(AQ13="","",AQ13*$AR13),"")</f>
        <v/>
      </c>
    </row>
    <row r="14" spans="1:54" x14ac:dyDescent="0.3">
      <c r="A14" s="5" t="s">
        <v>11</v>
      </c>
      <c r="B14" s="6" t="s">
        <v>12</v>
      </c>
      <c r="C14" s="6" t="s">
        <v>788</v>
      </c>
      <c r="D14" s="105" t="s">
        <v>216</v>
      </c>
      <c r="E14" s="7">
        <f t="array" ref="E14">INDEX(표1[내 책 등급], MATCH(1, (표1[사용자] ='성장 시뮬레이터'!$B$1) * (표1[책이름] = D14), 0))</f>
        <v>6</v>
      </c>
      <c r="F14" s="106" t="s">
        <v>175</v>
      </c>
      <c r="G14" s="147">
        <v>110</v>
      </c>
      <c r="H14" s="147" t="str">
        <f>IF(ISNUMBER(SEARCH("여", F14)), IF('성장 시뮬레이터'!$C$9=2, "O", "X"), "O")</f>
        <v>O</v>
      </c>
      <c r="I14" s="147" t="str">
        <f>IF(OR(ISNUMBER(SEARCH("위나라", F14)), ISNUMBER(SEARCH("촉나라", F14)), ISNUMBER(SEARCH("오나라", F14)), ISNUMBER(SEARCH("군웅", F14))), IF(ISNUMBER(SEARCH('성장 시뮬레이터'!$C$10, F14)), "O", "X"), "O")</f>
        <v>O</v>
      </c>
      <c r="J14" s="142" t="str">
        <f>IF(
    AND(
        H14="O",
        I14="O",
        IF(ISNUMBER(SEARCH("무력+지력", F14)), ('성장 시뮬레이터'!$G$5+'성장 시뮬레이터'!$G$6) &gt;= G14,
           IF(ISNUMBER(SEARCH("무력", F14)), '성장 시뮬레이터'!$G$5 &gt;= G14,
           IF(ISNUMBER(SEARCH("지력", F14)), '성장 시뮬레이터'!$G$6 &gt;= G14,
           IF(ISNUMBER(SEARCH("내력", F14)), '성장 시뮬레이터'!$G$7 &gt;= G14,
           IF(ISNUMBER(SEARCH("체력", F14)), '성장 시뮬레이터'!$G$8 &gt;= G14, FALSE)))))
    ), "O", "X")</f>
        <v>X</v>
      </c>
      <c r="K14" s="147" t="str">
        <f>IF(
    AND(
        H14="O",
        I14="O",
        IF(ISNUMBER(SEARCH("무력+지력", F14)), ('성장 시뮬레이터'!$I$5+'성장 시뮬레이터'!$I$6) &gt;= G14,
           IF(ISNUMBER(SEARCH("무력", F14)), '성장 시뮬레이터'!$I$5 &gt;= G14,
           IF(ISNUMBER(SEARCH("지력", F14)), '성장 시뮬레이터'!$I$6 &gt;= G14,
           IF(ISNUMBER(SEARCH("내력", F14)), '성장 시뮬레이터'!$I$7 &gt;= G14,
           IF(ISNUMBER(SEARCH("체력", F14)), '성장 시뮬레이터'!$I$8 &gt;= G14, FALSE)))))
    ), "O", "X")</f>
        <v>X</v>
      </c>
      <c r="L14" s="147" t="str">
        <f>IF(
    AND(
        H14="O",
        I14="O",
        IF(ISNUMBER(SEARCH("무력+지력", F14)), ('성장 시뮬레이터'!$K$5+'성장 시뮬레이터'!$K$6) &gt;= G14,
           IF(ISNUMBER(SEARCH("무력", F14)), '성장 시뮬레이터'!$K$5 &gt;= G14,
           IF(ISNUMBER(SEARCH("지력", F14)), '성장 시뮬레이터'!$K$6 &gt;= G14,
           IF(ISNUMBER(SEARCH("내력", F14)), '성장 시뮬레이터'!$K$7 &gt;= G14,
           IF(ISNUMBER(SEARCH("체력", F14)), '성장 시뮬레이터'!$K$8 &gt;= G14, FALSE)))))
    ), "O", "X")</f>
        <v>X</v>
      </c>
      <c r="M14" s="147" t="str">
        <f>IF(
    AND(
        H14="O",
        I14="O",
        IF(ISNUMBER(SEARCH("무력+지력", F14)), ('성장 시뮬레이터'!$M$5+'성장 시뮬레이터'!$M$6) &gt;= G14,
           IF(ISNUMBER(SEARCH("무력", F14)), '성장 시뮬레이터'!$M$5 &gt;= G14,
           IF(ISNUMBER(SEARCH("지력", F14)), '성장 시뮬레이터'!$M$6 &gt;= G14,
           IF(ISNUMBER(SEARCH("내력", F14)), '성장 시뮬레이터'!$M$7 &gt;= G14,
           IF(ISNUMBER(SEARCH("체력", F14)), '성장 시뮬레이터'!$M$8 &gt;= G14, FALSE)))))
    ), "O", "X")</f>
        <v>X</v>
      </c>
      <c r="N14" s="147" t="str">
        <f>IF(
    AND(
        H14="O",
        I14="O",
        IF(ISNUMBER(SEARCH("무력+지력", F14)), ('성장 시뮬레이터'!$O$5+'성장 시뮬레이터'!$O$6) &gt;= G14,
           IF(ISNUMBER(SEARCH("무력", F14)), '성장 시뮬레이터'!$O$5 &gt;= G14,
           IF(ISNUMBER(SEARCH("지력", F14)), '성장 시뮬레이터'!$O$6 &gt;= G14,
           IF(ISNUMBER(SEARCH("내력", F14)), '성장 시뮬레이터'!$O$7 &gt;= G14,
           IF(ISNUMBER(SEARCH("체력", F14)), '성장 시뮬레이터'!$O$8 &gt;= G14, FALSE)))))
    ), "O", "X")</f>
        <v>X</v>
      </c>
      <c r="O14" s="147" t="str">
        <f>IF(
    AND(
        H14="O",
        I14="O",
        IF(ISNUMBER(SEARCH("무력+지력", F14)), ('성장 시뮬레이터'!$Q$5+'성장 시뮬레이터'!$Q$6) &gt;= G14,
           IF(ISNUMBER(SEARCH("무력", F14)), '성장 시뮬레이터'!$Q$5 &gt;= G14,
           IF(ISNUMBER(SEARCH("지력", F14)), '성장 시뮬레이터'!$Q$6 &gt;= G14,
           IF(ISNUMBER(SEARCH("내력", F14)), '성장 시뮬레이터'!$Q$7 &gt;= G14,
           IF(ISNUMBER(SEARCH("체력", F14)), '성장 시뮬레이터'!$Q$8 &gt;= G14, FALSE)))))
    ), "O", "X")</f>
        <v>X</v>
      </c>
      <c r="P14" s="147" t="s">
        <v>905</v>
      </c>
      <c r="Q14" s="142">
        <f t="shared" si="0"/>
        <v>80</v>
      </c>
      <c r="R14" s="142">
        <f t="shared" si="1"/>
        <v>40</v>
      </c>
      <c r="S14" s="142" t="str">
        <f t="shared" si="2"/>
        <v/>
      </c>
      <c r="T14" s="142" t="str">
        <f t="shared" si="3"/>
        <v/>
      </c>
      <c r="U14" s="142">
        <f t="shared" si="4"/>
        <v>40</v>
      </c>
      <c r="V14" s="142" t="str">
        <f t="shared" si="5"/>
        <v/>
      </c>
      <c r="W14" s="142" t="str">
        <f t="shared" si="6"/>
        <v/>
      </c>
      <c r="X14" s="142" t="str">
        <f t="shared" si="7"/>
        <v/>
      </c>
      <c r="Y14" s="142" t="str">
        <f t="shared" si="8"/>
        <v/>
      </c>
      <c r="Z14" s="142" t="str">
        <f t="shared" si="9"/>
        <v/>
      </c>
      <c r="AA14" s="107" t="s">
        <v>691</v>
      </c>
      <c r="AB14" s="107"/>
      <c r="AC14" s="107"/>
      <c r="AD14" s="107"/>
      <c r="AE14" s="107"/>
      <c r="AF14" s="146" t="s">
        <v>692</v>
      </c>
      <c r="AH14" s="8">
        <v>40</v>
      </c>
      <c r="AI14" s="8">
        <v>20</v>
      </c>
      <c r="AJ14" s="8"/>
      <c r="AK14" s="8"/>
      <c r="AL14" s="8">
        <v>20</v>
      </c>
      <c r="AM14" s="8"/>
      <c r="AN14" s="8"/>
      <c r="AO14" s="8"/>
      <c r="AP14" s="8"/>
      <c r="AQ14" s="8"/>
      <c r="AR14" s="103">
        <v>1.5</v>
      </c>
      <c r="AS14" s="8">
        <f>IF(OR(표1_3[[#This Row],[등급]]="명서",(표1_3[[#This Row],[등급]]="고급")),IF(AH14="","",AH14*$AR14),"")</f>
        <v>60</v>
      </c>
      <c r="AT14" s="8">
        <f>IF(OR(표1_3[[#This Row],[등급]]="명서",(표1_3[[#This Row],[등급]]="고급")),IF(AI14="","",AI14*$AR14),"")</f>
        <v>30</v>
      </c>
      <c r="AU14" s="8" t="str">
        <f>IF(OR(표1_3[[#This Row],[등급]]="명서",(표1_3[[#This Row],[등급]]="고급")),IF(AJ14="","",AJ14*$AR14),"")</f>
        <v/>
      </c>
      <c r="AV14" s="8" t="str">
        <f>IF(OR(표1_3[[#This Row],[등급]]="명서",(표1_3[[#This Row],[등급]]="고급")),IF(AK14="","",AK14*$AR14),"")</f>
        <v/>
      </c>
      <c r="AW14" s="8">
        <f>IF(OR(표1_3[[#This Row],[등급]]="명서",(표1_3[[#This Row],[등급]]="고급")),IF(AL14="","",AL14*$AR14),"")</f>
        <v>30</v>
      </c>
      <c r="AX14" s="8" t="str">
        <f>IF(OR(표1_3[[#This Row],[등급]]="명서",(표1_3[[#This Row],[등급]]="고급")),IF(AM14="","",AM14*$AR14),"")</f>
        <v/>
      </c>
      <c r="AY14" s="8" t="str">
        <f>IF(OR(표1_3[[#This Row],[등급]]="명서",(표1_3[[#This Row],[등급]]="고급")),IF(AN14="","",AN14*$AR14),"")</f>
        <v/>
      </c>
      <c r="AZ14" s="8" t="str">
        <f>IF(OR(표1_3[[#This Row],[등급]]="명서",(표1_3[[#This Row],[등급]]="고급")),IF(AO14="","",AO14*$AR14),"")</f>
        <v/>
      </c>
      <c r="BA14" s="8" t="str">
        <f>IF(OR(표1_3[[#This Row],[등급]]="명서",(표1_3[[#This Row],[등급]]="고급")),IF(AP14="","",AP14*$AR14),"")</f>
        <v/>
      </c>
      <c r="BB14" s="8" t="str">
        <f>IF(OR(표1_3[[#This Row],[등급]]="명서",(표1_3[[#This Row],[등급]]="고급")),IF(AQ14="","",AQ14*$AR14),"")</f>
        <v/>
      </c>
    </row>
    <row r="15" spans="1:54" x14ac:dyDescent="0.3">
      <c r="A15" s="5" t="s">
        <v>11</v>
      </c>
      <c r="B15" s="6" t="s">
        <v>12</v>
      </c>
      <c r="C15" s="6" t="s">
        <v>787</v>
      </c>
      <c r="D15" s="105" t="s">
        <v>770</v>
      </c>
      <c r="E15" s="7">
        <f t="array" ref="E15">INDEX(표1[내 책 등급], MATCH(1, (표1[사용자] ='성장 시뮬레이터'!$B$1) * (표1[책이름] = D15), 0))</f>
        <v>7</v>
      </c>
      <c r="F15" s="106" t="s">
        <v>173</v>
      </c>
      <c r="G15" s="147">
        <v>113</v>
      </c>
      <c r="H15" s="142" t="str">
        <f>IF(ISNUMBER(SEARCH("여", F15)), IF(서책입력!$D$118=2, "O", "X"), "O")</f>
        <v>O</v>
      </c>
      <c r="I15" s="142" t="str">
        <f>IF(OR(ISNUMBER(SEARCH("위나라", F15)), ISNUMBER(SEARCH("촉나라", F15)), ISNUMBER(SEARCH("오나라", F15)), ISNUMBER(SEARCH("군웅", F15))), IF(ISNUMBER(SEARCH(서책입력!$D$119, F15)), "O", "X"), "O")</f>
        <v>O</v>
      </c>
      <c r="J15" s="147" t="str">
        <f>IF(
    AND(
        H15="O",
        I15="O",
        IF(ISNUMBER(SEARCH("무력+지력", F15)), (서책입력!$G$114+서책입력!$G$115) &gt;= G15,
           IF(ISNUMBER(SEARCH("무력", F15)), 서책입력!$G$114 &gt;= G15,
           IF(ISNUMBER(SEARCH("지력", F15)), 서책입력!$G$115 &gt;= G15,
           IF(ISNUMBER(SEARCH("내력", F15)), 서책입력!$G$116 &gt;= G15,
           IF(ISNUMBER(SEARCH("체력", F15)), 서책입력!$G$117 &gt;= G15, FALSE)))))
    ), "O", "X")</f>
        <v>X</v>
      </c>
      <c r="K15" s="142" t="str">
        <f>IF(
    AND(
        H15="O",
        I15="O",
        IF(ISNUMBER(SEARCH("무력+지력", F15)), (서책입력!$I$114+서책입력!$I$115) &gt;= G15,
           IF(ISNUMBER(SEARCH("무력", F15)), 서책입력!$I$114 &gt;= G15,
           IF(ISNUMBER(SEARCH("지력", F15)), 서책입력!$I$115 &gt;= G15,
           IF(ISNUMBER(SEARCH("내력", F15)), 서책입력!$I$116 &gt;= G15,
           IF(ISNUMBER(SEARCH("체력", F15)), 서책입력!$I$117 &gt;= G15, FALSE)))))
    ), "O", "X")</f>
        <v>X</v>
      </c>
      <c r="L15" s="147" t="str">
        <f>IF(
    AND(
        H15="O",
        I15="O",
        IF(ISNUMBER(SEARCH("무력+지력", F15)), (서책입력!$K$114+서책입력!$K$115) &gt;= G15,
           IF(ISNUMBER(SEARCH("무력", F15)), 서책입력!$K$114 &gt;= G15,
           IF(ISNUMBER(SEARCH("지력", F15)), 서책입력!$K$115 &gt;= G15,
           IF(ISNUMBER(SEARCH("내력", F15)), 서책입력!$K$116 &gt;= G15,
           IF(ISNUMBER(SEARCH("체력", F15)), 서책입력!$K$117 &gt;= G15, FALSE)))))
    ), "O", "X")</f>
        <v>X</v>
      </c>
      <c r="M15" s="147" t="str">
        <f>IF(
    AND(
        H15="O",
        I15="O",
        IF(ISNUMBER(SEARCH("무력+지력", F15)), (서책입력!$M$114+서책입력!$M$115) &gt;= G15,
           IF(ISNUMBER(SEARCH("무력", F15)), 서책입력!$M$114 &gt;= G15,
           IF(ISNUMBER(SEARCH("지력", F15)), 서책입력!$M$115 &gt;= G15,
           IF(ISNUMBER(SEARCH("내력", F15)), 서책입력!$M$116 &gt;= G15,
           IF(ISNUMBER(SEARCH("체력", F15)), 서책입력!$M$117 &gt;= G15, FALSE)))))
    ), "O", "X")</f>
        <v>X</v>
      </c>
      <c r="N15" s="147" t="str">
        <f>IF(
    AND(
        H15="O",
        I15="O",
        IF(ISNUMBER(SEARCH("무력+지력", F15)), (서책입력!$O$114+서책입력!$O$115) &gt;= G15,
           IF(ISNUMBER(SEARCH("무력", F15)), 서책입력!$O$114 &gt;= G15,
           IF(ISNUMBER(SEARCH("지력", F15)), 서책입력!$O$115 &gt;= G15,
           IF(ISNUMBER(SEARCH("내력", F15)), 서책입력!$O$116 &gt;= G15,
           IF(ISNUMBER(SEARCH("체력", F15)), 서책입력!$O$117 &gt;= G15, FALSE)))))
    ), "O", "X")</f>
        <v>X</v>
      </c>
      <c r="O15" s="147" t="str">
        <f>IF(
    AND(
        H15="O",
        I15="O",
        IF(ISNUMBER(SEARCH("무력+지력", F15)), (서책입력!$R$114+서책입력!$R$115) &gt;= G15,
           IF(ISNUMBER(SEARCH("무력", F15)), 서책입력!$R$114 &gt;= G15,
           IF(ISNUMBER(SEARCH("지력", F15)), 서책입력!$R$115 &gt;= G15,
           IF(ISNUMBER(SEARCH("내력", F15)), 서책입력!$R$116 &gt;= G15,
           IF(ISNUMBER(SEARCH("체력", F15)), 서책입력!$R$117 &gt;= G15, FALSE)))))
    ), "O", "X")</f>
        <v>X</v>
      </c>
      <c r="P15" s="147" t="s">
        <v>905</v>
      </c>
      <c r="Q15" s="147" t="str">
        <f t="shared" ref="Q15:Z15" si="10">IF(OR($E15=0, AH15=""), "", CHOOSE(IF($E15=10, 1, IF($E15=4, 2, 3)), AS15+AH15*5, AH15, ($E15-4)*AH15))</f>
        <v/>
      </c>
      <c r="R15" s="147">
        <f t="shared" si="10"/>
        <v>120</v>
      </c>
      <c r="S15" s="147">
        <f t="shared" si="10"/>
        <v>60</v>
      </c>
      <c r="T15" s="147">
        <f t="shared" si="10"/>
        <v>60</v>
      </c>
      <c r="U15" s="147" t="str">
        <f t="shared" si="10"/>
        <v/>
      </c>
      <c r="V15" s="147" t="str">
        <f t="shared" si="10"/>
        <v/>
      </c>
      <c r="W15" s="147" t="str">
        <f t="shared" si="10"/>
        <v/>
      </c>
      <c r="X15" s="147" t="str">
        <f t="shared" si="10"/>
        <v/>
      </c>
      <c r="Y15" s="147" t="str">
        <f t="shared" si="10"/>
        <v/>
      </c>
      <c r="Z15" s="147" t="str">
        <f t="shared" si="10"/>
        <v/>
      </c>
      <c r="AA15" s="107" t="s">
        <v>789</v>
      </c>
      <c r="AB15" s="107"/>
      <c r="AC15" s="107"/>
      <c r="AD15" s="107"/>
      <c r="AE15" s="107"/>
      <c r="AF15" s="146" t="s">
        <v>790</v>
      </c>
      <c r="AH15" s="8"/>
      <c r="AI15" s="8">
        <v>40</v>
      </c>
      <c r="AJ15" s="8">
        <v>20</v>
      </c>
      <c r="AK15" s="8">
        <v>20</v>
      </c>
      <c r="AL15" s="8"/>
      <c r="AM15" s="8"/>
      <c r="AN15" s="8"/>
      <c r="AO15" s="8"/>
      <c r="AP15" s="8"/>
      <c r="AQ15" s="8"/>
      <c r="AR15" s="103">
        <v>1.5</v>
      </c>
      <c r="AS15" s="8" t="str">
        <f>IF(OR(표1_3[[#This Row],[등급]]="명서",(표1_3[[#This Row],[등급]]="고급")),IF(AH15="","",AH15*$AR15),"")</f>
        <v/>
      </c>
      <c r="AT15" s="8">
        <f>IF(OR(표1_3[[#This Row],[등급]]="명서",(표1_3[[#This Row],[등급]]="고급")),IF(AI15="","",AI15*$AR15),"")</f>
        <v>60</v>
      </c>
      <c r="AU15" s="8">
        <f>IF(OR(표1_3[[#This Row],[등급]]="명서",(표1_3[[#This Row],[등급]]="고급")),IF(AJ15="","",AJ15*$AR15),"")</f>
        <v>30</v>
      </c>
      <c r="AV15" s="8">
        <f>IF(OR(표1_3[[#This Row],[등급]]="명서",(표1_3[[#This Row],[등급]]="고급")),IF(AK15="","",AK15*$AR15),"")</f>
        <v>30</v>
      </c>
      <c r="AW15" s="8" t="str">
        <f>IF(OR(표1_3[[#This Row],[등급]]="명서",(표1_3[[#This Row],[등급]]="고급")),IF(AL15="","",AL15*$AR15),"")</f>
        <v/>
      </c>
      <c r="AX15" s="8" t="str">
        <f>IF(OR(표1_3[[#This Row],[등급]]="명서",(표1_3[[#This Row],[등급]]="고급")),IF(AM15="","",AM15*$AR15),"")</f>
        <v/>
      </c>
      <c r="AY15" s="8" t="str">
        <f>IF(OR(표1_3[[#This Row],[등급]]="명서",(표1_3[[#This Row],[등급]]="고급")),IF(AN15="","",AN15*$AR15),"")</f>
        <v/>
      </c>
      <c r="AZ15" s="8" t="str">
        <f>IF(OR(표1_3[[#This Row],[등급]]="명서",(표1_3[[#This Row],[등급]]="고급")),IF(AO15="","",AO15*$AR15),"")</f>
        <v/>
      </c>
      <c r="BA15" s="8" t="str">
        <f>IF(OR(표1_3[[#This Row],[등급]]="명서",(표1_3[[#This Row],[등급]]="고급")),IF(AP15="","",AP15*$AR15),"")</f>
        <v/>
      </c>
      <c r="BB15" s="8" t="str">
        <f>IF(OR(표1_3[[#This Row],[등급]]="명서",(표1_3[[#This Row],[등급]]="고급")),IF(AQ15="","",AQ15*$AR15),"")</f>
        <v/>
      </c>
    </row>
    <row r="16" spans="1:54" x14ac:dyDescent="0.3">
      <c r="A16" s="5" t="s">
        <v>11</v>
      </c>
      <c r="B16" s="6" t="s">
        <v>12</v>
      </c>
      <c r="C16" s="6" t="s">
        <v>787</v>
      </c>
      <c r="D16" s="105" t="s">
        <v>223</v>
      </c>
      <c r="E16" s="7">
        <f t="array" ref="E16">INDEX(표1[내 책 등급], MATCH(1, (표1[사용자] ='성장 시뮬레이터'!$B$1) * (표1[책이름] = D16), 0))</f>
        <v>5</v>
      </c>
      <c r="F16" s="106" t="s">
        <v>224</v>
      </c>
      <c r="G16" s="147">
        <v>110</v>
      </c>
      <c r="H16" s="147" t="str">
        <f>IF(ISNUMBER(SEARCH("여", F16)), IF('성장 시뮬레이터'!$C$9=2, "O", "X"), "O")</f>
        <v>O</v>
      </c>
      <c r="I16" s="147" t="str">
        <f>IF(OR(ISNUMBER(SEARCH("위나라", F16)), ISNUMBER(SEARCH("촉나라", F16)), ISNUMBER(SEARCH("오나라", F16)), ISNUMBER(SEARCH("군웅", F16))), IF(ISNUMBER(SEARCH('성장 시뮬레이터'!$C$10, F16)), "O", "X"), "O")</f>
        <v>O</v>
      </c>
      <c r="J16" s="142" t="str">
        <f>IF(
    AND(
        H16="O",
        I16="O",
        IF(ISNUMBER(SEARCH("무력+지력", F16)), ('성장 시뮬레이터'!$G$5+'성장 시뮬레이터'!$G$6) &gt;= G16,
           IF(ISNUMBER(SEARCH("무력", F16)), '성장 시뮬레이터'!$G$5 &gt;= G16,
           IF(ISNUMBER(SEARCH("지력", F16)), '성장 시뮬레이터'!$G$6 &gt;= G16,
           IF(ISNUMBER(SEARCH("내력", F16)), '성장 시뮬레이터'!$G$7 &gt;= G16,
           IF(ISNUMBER(SEARCH("체력", F16)), '성장 시뮬레이터'!$G$8 &gt;= G16, FALSE)))))
    ), "O", "X")</f>
        <v>X</v>
      </c>
      <c r="K16" s="147" t="str">
        <f>IF(
    AND(
        H16="O",
        I16="O",
        IF(ISNUMBER(SEARCH("무력+지력", F16)), ('성장 시뮬레이터'!$I$5+'성장 시뮬레이터'!$I$6) &gt;= G16,
           IF(ISNUMBER(SEARCH("무력", F16)), '성장 시뮬레이터'!$I$5 &gt;= G16,
           IF(ISNUMBER(SEARCH("지력", F16)), '성장 시뮬레이터'!$I$6 &gt;= G16,
           IF(ISNUMBER(SEARCH("내력", F16)), '성장 시뮬레이터'!$I$7 &gt;= G16,
           IF(ISNUMBER(SEARCH("체력", F16)), '성장 시뮬레이터'!$I$8 &gt;= G16, FALSE)))))
    ), "O", "X")</f>
        <v>X</v>
      </c>
      <c r="L16" s="147" t="str">
        <f>IF(
    AND(
        H16="O",
        I16="O",
        IF(ISNUMBER(SEARCH("무력+지력", F16)), ('성장 시뮬레이터'!$K$5+'성장 시뮬레이터'!$K$6) &gt;= G16,
           IF(ISNUMBER(SEARCH("무력", F16)), '성장 시뮬레이터'!$K$5 &gt;= G16,
           IF(ISNUMBER(SEARCH("지력", F16)), '성장 시뮬레이터'!$K$6 &gt;= G16,
           IF(ISNUMBER(SEARCH("내력", F16)), '성장 시뮬레이터'!$K$7 &gt;= G16,
           IF(ISNUMBER(SEARCH("체력", F16)), '성장 시뮬레이터'!$K$8 &gt;= G16, FALSE)))))
    ), "O", "X")</f>
        <v>X</v>
      </c>
      <c r="M16" s="147" t="str">
        <f>IF(
    AND(
        H16="O",
        I16="O",
        IF(ISNUMBER(SEARCH("무력+지력", F16)), ('성장 시뮬레이터'!$M$5+'성장 시뮬레이터'!$M$6) &gt;= G16,
           IF(ISNUMBER(SEARCH("무력", F16)), '성장 시뮬레이터'!$M$5 &gt;= G16,
           IF(ISNUMBER(SEARCH("지력", F16)), '성장 시뮬레이터'!$M$6 &gt;= G16,
           IF(ISNUMBER(SEARCH("내력", F16)), '성장 시뮬레이터'!$M$7 &gt;= G16,
           IF(ISNUMBER(SEARCH("체력", F16)), '성장 시뮬레이터'!$M$8 &gt;= G16, FALSE)))))
    ), "O", "X")</f>
        <v>X</v>
      </c>
      <c r="N16" s="147" t="str">
        <f>IF(
    AND(
        H16="O",
        I16="O",
        IF(ISNUMBER(SEARCH("무력+지력", F16)), ('성장 시뮬레이터'!$O$5+'성장 시뮬레이터'!$O$6) &gt;= G16,
           IF(ISNUMBER(SEARCH("무력", F16)), '성장 시뮬레이터'!$O$5 &gt;= G16,
           IF(ISNUMBER(SEARCH("지력", F16)), '성장 시뮬레이터'!$O$6 &gt;= G16,
           IF(ISNUMBER(SEARCH("내력", F16)), '성장 시뮬레이터'!$O$7 &gt;= G16,
           IF(ISNUMBER(SEARCH("체력", F16)), '성장 시뮬레이터'!$O$8 &gt;= G16, FALSE)))))
    ), "O", "X")</f>
        <v>X</v>
      </c>
      <c r="O16" s="147" t="str">
        <f>IF(
    AND(
        H16="O",
        I16="O",
        IF(ISNUMBER(SEARCH("무력+지력", F16)), ('성장 시뮬레이터'!$Q$5+'성장 시뮬레이터'!$Q$6) &gt;= G16,
           IF(ISNUMBER(SEARCH("무력", F16)), '성장 시뮬레이터'!$Q$5 &gt;= G16,
           IF(ISNUMBER(SEARCH("지력", F16)), '성장 시뮬레이터'!$Q$6 &gt;= G16,
           IF(ISNUMBER(SEARCH("내력", F16)), '성장 시뮬레이터'!$Q$7 &gt;= G16,
           IF(ISNUMBER(SEARCH("체력", F16)), '성장 시뮬레이터'!$Q$8 &gt;= G16, FALSE)))))
    ), "O", "X")</f>
        <v>X</v>
      </c>
      <c r="P16" s="147" t="s">
        <v>905</v>
      </c>
      <c r="Q16" s="142">
        <f t="shared" si="0"/>
        <v>40</v>
      </c>
      <c r="R16" s="142" t="str">
        <f t="shared" si="1"/>
        <v/>
      </c>
      <c r="S16" s="142">
        <f t="shared" si="2"/>
        <v>20</v>
      </c>
      <c r="T16" s="142" t="str">
        <f t="shared" si="3"/>
        <v/>
      </c>
      <c r="U16" s="142">
        <f t="shared" si="4"/>
        <v>20</v>
      </c>
      <c r="V16" s="142" t="str">
        <f t="shared" si="5"/>
        <v/>
      </c>
      <c r="W16" s="142" t="str">
        <f t="shared" si="6"/>
        <v/>
      </c>
      <c r="X16" s="142" t="str">
        <f t="shared" si="7"/>
        <v/>
      </c>
      <c r="Y16" s="142" t="str">
        <f t="shared" si="8"/>
        <v/>
      </c>
      <c r="Z16" s="142" t="str">
        <f t="shared" si="9"/>
        <v/>
      </c>
      <c r="AA16" s="107" t="s">
        <v>225</v>
      </c>
      <c r="AB16" s="107"/>
      <c r="AC16" s="107"/>
      <c r="AD16" s="107"/>
      <c r="AE16" s="107"/>
      <c r="AF16" s="146" t="s">
        <v>226</v>
      </c>
      <c r="AH16" s="8">
        <v>40</v>
      </c>
      <c r="AI16" s="8"/>
      <c r="AJ16" s="8">
        <v>20</v>
      </c>
      <c r="AK16" s="8"/>
      <c r="AL16" s="8">
        <v>20</v>
      </c>
      <c r="AM16" s="8"/>
      <c r="AN16" s="8"/>
      <c r="AO16" s="8"/>
      <c r="AP16" s="8"/>
      <c r="AQ16" s="8"/>
      <c r="AR16" s="103">
        <v>1.5</v>
      </c>
      <c r="AS16" s="8">
        <f>IF(OR(표1_3[[#This Row],[등급]]="명서",(표1_3[[#This Row],[등급]]="고급")),IF(AH16="","",AH16*$AR16),"")</f>
        <v>60</v>
      </c>
      <c r="AT16" s="8" t="str">
        <f>IF(OR(표1_3[[#This Row],[등급]]="명서",(표1_3[[#This Row],[등급]]="고급")),IF(AI16="","",AI16*$AR16),"")</f>
        <v/>
      </c>
      <c r="AU16" s="8">
        <f>IF(OR(표1_3[[#This Row],[등급]]="명서",(표1_3[[#This Row],[등급]]="고급")),IF(AJ16="","",AJ16*$AR16),"")</f>
        <v>30</v>
      </c>
      <c r="AV16" s="8" t="str">
        <f>IF(OR(표1_3[[#This Row],[등급]]="명서",(표1_3[[#This Row],[등급]]="고급")),IF(AK16="","",AK16*$AR16),"")</f>
        <v/>
      </c>
      <c r="AW16" s="8">
        <f>IF(OR(표1_3[[#This Row],[등급]]="명서",(표1_3[[#This Row],[등급]]="고급")),IF(AL16="","",AL16*$AR16),"")</f>
        <v>30</v>
      </c>
      <c r="AX16" s="8" t="str">
        <f>IF(OR(표1_3[[#This Row],[등급]]="명서",(표1_3[[#This Row],[등급]]="고급")),IF(AM16="","",AM16*$AR16),"")</f>
        <v/>
      </c>
      <c r="AY16" s="8" t="str">
        <f>IF(OR(표1_3[[#This Row],[등급]]="명서",(표1_3[[#This Row],[등급]]="고급")),IF(AN16="","",AN16*$AR16),"")</f>
        <v/>
      </c>
      <c r="AZ16" s="8" t="str">
        <f>IF(OR(표1_3[[#This Row],[등급]]="명서",(표1_3[[#This Row],[등급]]="고급")),IF(AO16="","",AO16*$AR16),"")</f>
        <v/>
      </c>
      <c r="BA16" s="8" t="str">
        <f>IF(OR(표1_3[[#This Row],[등급]]="명서",(표1_3[[#This Row],[등급]]="고급")),IF(AP16="","",AP16*$AR16),"")</f>
        <v/>
      </c>
      <c r="BB16" s="8" t="str">
        <f>IF(OR(표1_3[[#This Row],[등급]]="명서",(표1_3[[#This Row],[등급]]="고급")),IF(AQ16="","",AQ16*$AR16),"")</f>
        <v/>
      </c>
    </row>
    <row r="17" spans="1:54" x14ac:dyDescent="0.3">
      <c r="A17" s="5" t="s">
        <v>11</v>
      </c>
      <c r="B17" s="6" t="s">
        <v>12</v>
      </c>
      <c r="C17" s="6" t="s">
        <v>786</v>
      </c>
      <c r="D17" s="105" t="s">
        <v>777</v>
      </c>
      <c r="E17" s="7">
        <f t="array" ref="E17">INDEX(표1[내 책 등급], MATCH(1, (표1[사용자] ='성장 시뮬레이터'!$B$1) * (표1[책이름] = D17), 0))</f>
        <v>5</v>
      </c>
      <c r="F17" s="106" t="s">
        <v>190</v>
      </c>
      <c r="G17" s="106">
        <v>102</v>
      </c>
      <c r="H17" s="8" t="str">
        <f>IF(ISNUMBER(SEARCH("여", F17)), IF(서책입력!$D$118=2, "O", "X"), "O")</f>
        <v>O</v>
      </c>
      <c r="I17" s="8" t="str">
        <f>IF(OR(ISNUMBER(SEARCH("위나라", F17)), ISNUMBER(SEARCH("촉나라", F17)), ISNUMBER(SEARCH("오나라", F17)), ISNUMBER(SEARCH("군웅", F17))), IF(ISNUMBER(SEARCH(서책입력!$D$119, F17)), "O", "X"), "O")</f>
        <v>O</v>
      </c>
      <c r="J17" s="106" t="str">
        <f>IF(
    AND(
        H17="O",
        I17="O",
        IF(ISNUMBER(SEARCH("무력+지력", F17)), (서책입력!$G$114+서책입력!$G$115) &gt;= G17,
           IF(ISNUMBER(SEARCH("무력", F17)), 서책입력!$G$114 &gt;= G17,
           IF(ISNUMBER(SEARCH("지력", F17)), 서책입력!$G$115 &gt;= G17,
           IF(ISNUMBER(SEARCH("내력", F17)), 서책입력!$G$116 &gt;= G17,
           IF(ISNUMBER(SEARCH("체력", F17)), 서책입력!$G$117 &gt;= G17, FALSE)))))
    ), "O", "X")</f>
        <v>X</v>
      </c>
      <c r="K17" s="8" t="str">
        <f>IF(
    AND(
        H17="O",
        I17="O",
        IF(ISNUMBER(SEARCH("무력+지력", F17)), (서책입력!$I$114+서책입력!$I$115) &gt;= G17,
           IF(ISNUMBER(SEARCH("무력", F17)), 서책입력!$I$114 &gt;= G17,
           IF(ISNUMBER(SEARCH("지력", F17)), 서책입력!$I$115 &gt;= G17,
           IF(ISNUMBER(SEARCH("내력", F17)), 서책입력!$I$116 &gt;= G17,
           IF(ISNUMBER(SEARCH("체력", F17)), 서책입력!$I$117 &gt;= G17, FALSE)))))
    ), "O", "X")</f>
        <v>X</v>
      </c>
      <c r="L17" s="106" t="str">
        <f>IF(
    AND(
        H17="O",
        I17="O",
        IF(ISNUMBER(SEARCH("무력+지력", F17)), (서책입력!$K$114+서책입력!$K$115) &gt;= G17,
           IF(ISNUMBER(SEARCH("무력", F17)), 서책입력!$K$114 &gt;= G17,
           IF(ISNUMBER(SEARCH("지력", F17)), 서책입력!$K$115 &gt;= G17,
           IF(ISNUMBER(SEARCH("내력", F17)), 서책입력!$K$116 &gt;= G17,
           IF(ISNUMBER(SEARCH("체력", F17)), 서책입력!$K$117 &gt;= G17, FALSE)))))
    ), "O", "X")</f>
        <v>X</v>
      </c>
      <c r="M17" s="106" t="str">
        <f>IF(
    AND(
        H17="O",
        I17="O",
        IF(ISNUMBER(SEARCH("무력+지력", F17)), (서책입력!$M$114+서책입력!$M$115) &gt;= G17,
           IF(ISNUMBER(SEARCH("무력", F17)), 서책입력!$M$114 &gt;= G17,
           IF(ISNUMBER(SEARCH("지력", F17)), 서책입력!$M$115 &gt;= G17,
           IF(ISNUMBER(SEARCH("내력", F17)), 서책입력!$M$116 &gt;= G17,
           IF(ISNUMBER(SEARCH("체력", F17)), 서책입력!$M$117 &gt;= G17, FALSE)))))
    ), "O", "X")</f>
        <v>X</v>
      </c>
      <c r="N17" s="106" t="str">
        <f>IF(
    AND(
        H17="O",
        I17="O",
        IF(ISNUMBER(SEARCH("무력+지력", F17)), (서책입력!$O$114+서책입력!$O$115) &gt;= G17,
           IF(ISNUMBER(SEARCH("무력", F17)), 서책입력!$O$114 &gt;= G17,
           IF(ISNUMBER(SEARCH("지력", F17)), 서책입력!$O$115 &gt;= G17,
           IF(ISNUMBER(SEARCH("내력", F17)), 서책입력!$O$116 &gt;= G17,
           IF(ISNUMBER(SEARCH("체력", F17)), 서책입력!$O$117 &gt;= G17, FALSE)))))
    ), "O", "X")</f>
        <v>X</v>
      </c>
      <c r="O17" s="106" t="str">
        <f>IF(
    AND(
        H17="O",
        I17="O",
        IF(ISNUMBER(SEARCH("무력+지력", F17)), (서책입력!$R$114+서책입력!$R$115) &gt;= G17,
           IF(ISNUMBER(SEARCH("무력", F17)), 서책입력!$R$114 &gt;= G17,
           IF(ISNUMBER(SEARCH("지력", F17)), 서책입력!$R$115 &gt;= G17,
           IF(ISNUMBER(SEARCH("내력", F17)), 서책입력!$R$116 &gt;= G17,
           IF(ISNUMBER(SEARCH("체력", F17)), 서책입력!$R$117 &gt;= G17, FALSE)))))
    ), "O", "X")</f>
        <v>X</v>
      </c>
      <c r="P17" s="106" t="s">
        <v>905</v>
      </c>
      <c r="Q17" s="106">
        <f t="shared" ref="Q17:Z18" si="11">IF(OR($E17=0, AH17=""), "", CHOOSE(IF($E17=10, 1, IF($E17=4, 2, 3)), AS17+AH17*5, AH17, ($E17-4)*AH17))</f>
        <v>40</v>
      </c>
      <c r="R17" s="106" t="str">
        <f t="shared" si="11"/>
        <v/>
      </c>
      <c r="S17" s="106" t="str">
        <f t="shared" si="11"/>
        <v/>
      </c>
      <c r="T17" s="106" t="str">
        <f t="shared" si="11"/>
        <v/>
      </c>
      <c r="U17" s="106" t="str">
        <f t="shared" si="11"/>
        <v/>
      </c>
      <c r="V17" s="106" t="str">
        <f t="shared" si="11"/>
        <v/>
      </c>
      <c r="W17" s="106" t="str">
        <f t="shared" si="11"/>
        <v/>
      </c>
      <c r="X17" s="106">
        <f t="shared" si="11"/>
        <v>20</v>
      </c>
      <c r="Y17" s="106" t="str">
        <f t="shared" si="11"/>
        <v/>
      </c>
      <c r="Z17" s="106" t="str">
        <f t="shared" si="11"/>
        <v/>
      </c>
      <c r="AA17" s="107" t="s">
        <v>931</v>
      </c>
      <c r="AB17" s="107"/>
      <c r="AC17" s="107"/>
      <c r="AD17" s="107"/>
      <c r="AE17" s="107"/>
      <c r="AF17" s="146" t="s">
        <v>932</v>
      </c>
      <c r="AH17" s="8">
        <v>40</v>
      </c>
      <c r="AI17" s="8"/>
      <c r="AJ17" s="8"/>
      <c r="AK17" s="8"/>
      <c r="AL17" s="8"/>
      <c r="AM17" s="8"/>
      <c r="AN17" s="8"/>
      <c r="AO17" s="8">
        <v>20</v>
      </c>
      <c r="AP17" s="8"/>
      <c r="AQ17" s="8"/>
      <c r="AR17" s="103">
        <v>1.5</v>
      </c>
      <c r="AS17" s="8">
        <f>IF(OR(표1_3[[#This Row],[등급]]="명서",(표1_3[[#This Row],[등급]]="고급")),IF(AH17="","",AH17*$AR17),"")</f>
        <v>60</v>
      </c>
      <c r="AT17" s="8" t="str">
        <f>IF(OR(표1_3[[#This Row],[등급]]="명서",(표1_3[[#This Row],[등급]]="고급")),IF(AI17="","",AI17*$AR17),"")</f>
        <v/>
      </c>
      <c r="AU17" s="8" t="str">
        <f>IF(OR(표1_3[[#This Row],[등급]]="명서",(표1_3[[#This Row],[등급]]="고급")),IF(AJ17="","",AJ17*$AR17),"")</f>
        <v/>
      </c>
      <c r="AV17" s="8" t="str">
        <f>IF(OR(표1_3[[#This Row],[등급]]="명서",(표1_3[[#This Row],[등급]]="고급")),IF(AK17="","",AK17*$AR17),"")</f>
        <v/>
      </c>
      <c r="AW17" s="8" t="str">
        <f>IF(OR(표1_3[[#This Row],[등급]]="명서",(표1_3[[#This Row],[등급]]="고급")),IF(AL17="","",AL17*$AR17),"")</f>
        <v/>
      </c>
      <c r="AX17" s="8" t="str">
        <f>IF(OR(표1_3[[#This Row],[등급]]="명서",(표1_3[[#This Row],[등급]]="고급")),IF(AM17="","",AM17*$AR17),"")</f>
        <v/>
      </c>
      <c r="AY17" s="8" t="str">
        <f>IF(OR(표1_3[[#This Row],[등급]]="명서",(표1_3[[#This Row],[등급]]="고급")),IF(AN17="","",AN17*$AR17),"")</f>
        <v/>
      </c>
      <c r="AZ17" s="8">
        <f>IF(OR(표1_3[[#This Row],[등급]]="명서",(표1_3[[#This Row],[등급]]="고급")),IF(AO17="","",AO17*$AR17),"")</f>
        <v>30</v>
      </c>
      <c r="BA17" s="8" t="str">
        <f>IF(OR(표1_3[[#This Row],[등급]]="명서",(표1_3[[#This Row],[등급]]="고급")),IF(AP17="","",AP17*$AR17),"")</f>
        <v/>
      </c>
      <c r="BB17" s="8" t="str">
        <f>IF(OR(표1_3[[#This Row],[등급]]="명서",(표1_3[[#This Row],[등급]]="고급")),IF(AQ17="","",AQ17*$AR17),"")</f>
        <v/>
      </c>
    </row>
    <row r="18" spans="1:54" x14ac:dyDescent="0.3">
      <c r="A18" s="5" t="s">
        <v>11</v>
      </c>
      <c r="B18" s="6" t="s">
        <v>12</v>
      </c>
      <c r="C18" s="6" t="s">
        <v>786</v>
      </c>
      <c r="D18" s="105" t="s">
        <v>778</v>
      </c>
      <c r="E18" s="7">
        <f t="array" ref="E18">INDEX(표1[내 책 등급], MATCH(1, (표1[사용자] ='성장 시뮬레이터'!$B$1) * (표1[책이름] = D18), 0))</f>
        <v>5</v>
      </c>
      <c r="F18" s="106" t="s">
        <v>175</v>
      </c>
      <c r="G18" s="106">
        <v>110</v>
      </c>
      <c r="H18" s="8" t="str">
        <f>IF(ISNUMBER(SEARCH("여", F18)), IF(서책입력!$D$118=2, "O", "X"), "O")</f>
        <v>O</v>
      </c>
      <c r="I18" s="8" t="str">
        <f>IF(OR(ISNUMBER(SEARCH("위나라", F18)), ISNUMBER(SEARCH("촉나라", F18)), ISNUMBER(SEARCH("오나라", F18)), ISNUMBER(SEARCH("군웅", F18))), IF(ISNUMBER(SEARCH(서책입력!$D$119, F18)), "O", "X"), "O")</f>
        <v>O</v>
      </c>
      <c r="J18" s="106" t="str">
        <f>IF(
    AND(
        H18="O",
        I18="O",
        IF(ISNUMBER(SEARCH("무력+지력", F18)), (서책입력!$G$114+서책입력!$G$115) &gt;= G18,
           IF(ISNUMBER(SEARCH("무력", F18)), 서책입력!$G$114 &gt;= G18,
           IF(ISNUMBER(SEARCH("지력", F18)), 서책입력!$G$115 &gt;= G18,
           IF(ISNUMBER(SEARCH("내력", F18)), 서책입력!$G$116 &gt;= G18,
           IF(ISNUMBER(SEARCH("체력", F18)), 서책입력!$G$117 &gt;= G18, FALSE)))))
    ), "O", "X")</f>
        <v>X</v>
      </c>
      <c r="K18" s="8" t="str">
        <f>IF(
    AND(
        H18="O",
        I18="O",
        IF(ISNUMBER(SEARCH("무력+지력", F18)), (서책입력!$I$114+서책입력!$I$115) &gt;= G18,
           IF(ISNUMBER(SEARCH("무력", F18)), 서책입력!$I$114 &gt;= G18,
           IF(ISNUMBER(SEARCH("지력", F18)), 서책입력!$I$115 &gt;= G18,
           IF(ISNUMBER(SEARCH("내력", F18)), 서책입력!$I$116 &gt;= G18,
           IF(ISNUMBER(SEARCH("체력", F18)), 서책입력!$I$117 &gt;= G18, FALSE)))))
    ), "O", "X")</f>
        <v>X</v>
      </c>
      <c r="L18" s="106" t="str">
        <f>IF(
    AND(
        H18="O",
        I18="O",
        IF(ISNUMBER(SEARCH("무력+지력", F18)), (서책입력!$K$114+서책입력!$K$115) &gt;= G18,
           IF(ISNUMBER(SEARCH("무력", F18)), 서책입력!$K$114 &gt;= G18,
           IF(ISNUMBER(SEARCH("지력", F18)), 서책입력!$K$115 &gt;= G18,
           IF(ISNUMBER(SEARCH("내력", F18)), 서책입력!$K$116 &gt;= G18,
           IF(ISNUMBER(SEARCH("체력", F18)), 서책입력!$K$117 &gt;= G18, FALSE)))))
    ), "O", "X")</f>
        <v>X</v>
      </c>
      <c r="M18" s="106" t="str">
        <f>IF(
    AND(
        H18="O",
        I18="O",
        IF(ISNUMBER(SEARCH("무력+지력", F18)), (서책입력!$M$114+서책입력!$M$115) &gt;= G18,
           IF(ISNUMBER(SEARCH("무력", F18)), 서책입력!$M$114 &gt;= G18,
           IF(ISNUMBER(SEARCH("지력", F18)), 서책입력!$M$115 &gt;= G18,
           IF(ISNUMBER(SEARCH("내력", F18)), 서책입력!$M$116 &gt;= G18,
           IF(ISNUMBER(SEARCH("체력", F18)), 서책입력!$M$117 &gt;= G18, FALSE)))))
    ), "O", "X")</f>
        <v>X</v>
      </c>
      <c r="N18" s="106" t="str">
        <f>IF(
    AND(
        H18="O",
        I18="O",
        IF(ISNUMBER(SEARCH("무력+지력", F18)), (서책입력!$O$114+서책입력!$O$115) &gt;= G18,
           IF(ISNUMBER(SEARCH("무력", F18)), 서책입력!$O$114 &gt;= G18,
           IF(ISNUMBER(SEARCH("지력", F18)), 서책입력!$O$115 &gt;= G18,
           IF(ISNUMBER(SEARCH("내력", F18)), 서책입력!$O$116 &gt;= G18,
           IF(ISNUMBER(SEARCH("체력", F18)), 서책입력!$O$117 &gt;= G18, FALSE)))))
    ), "O", "X")</f>
        <v>X</v>
      </c>
      <c r="O18" s="106" t="str">
        <f>IF(
    AND(
        H18="O",
        I18="O",
        IF(ISNUMBER(SEARCH("무력+지력", F18)), (서책입력!$R$114+서책입력!$R$115) &gt;= G18,
           IF(ISNUMBER(SEARCH("무력", F18)), 서책입력!$R$114 &gt;= G18,
           IF(ISNUMBER(SEARCH("지력", F18)), 서책입력!$R$115 &gt;= G18,
           IF(ISNUMBER(SEARCH("내력", F18)), 서책입력!$R$116 &gt;= G18,
           IF(ISNUMBER(SEARCH("체력", F18)), 서책입력!$R$117 &gt;= G18, FALSE)))))
    ), "O", "X")</f>
        <v>X</v>
      </c>
      <c r="P18" s="106" t="s">
        <v>905</v>
      </c>
      <c r="Q18" s="106">
        <f t="shared" si="11"/>
        <v>40</v>
      </c>
      <c r="R18" s="106" t="str">
        <f t="shared" si="11"/>
        <v/>
      </c>
      <c r="S18" s="106">
        <f t="shared" si="11"/>
        <v>20</v>
      </c>
      <c r="T18" s="106" t="str">
        <f t="shared" si="11"/>
        <v/>
      </c>
      <c r="U18" s="106" t="str">
        <f t="shared" si="11"/>
        <v/>
      </c>
      <c r="V18" s="106">
        <f t="shared" si="11"/>
        <v>20</v>
      </c>
      <c r="W18" s="106" t="str">
        <f t="shared" si="11"/>
        <v/>
      </c>
      <c r="X18" s="106" t="str">
        <f t="shared" si="11"/>
        <v/>
      </c>
      <c r="Y18" s="106" t="str">
        <f t="shared" si="11"/>
        <v/>
      </c>
      <c r="Z18" s="106" t="str">
        <f t="shared" si="11"/>
        <v/>
      </c>
      <c r="AA18" s="107" t="s">
        <v>917</v>
      </c>
      <c r="AB18" s="107"/>
      <c r="AC18" s="107"/>
      <c r="AD18" s="107"/>
      <c r="AE18" s="107"/>
      <c r="AF18" s="146" t="s">
        <v>918</v>
      </c>
      <c r="AH18" s="8">
        <v>40</v>
      </c>
      <c r="AI18" s="8"/>
      <c r="AJ18" s="8">
        <v>20</v>
      </c>
      <c r="AK18" s="8"/>
      <c r="AL18" s="8"/>
      <c r="AM18" s="8">
        <v>20</v>
      </c>
      <c r="AN18" s="8"/>
      <c r="AO18" s="8"/>
      <c r="AP18" s="8"/>
      <c r="AQ18" s="8"/>
      <c r="AR18" s="103">
        <v>1.5</v>
      </c>
      <c r="AS18" s="8">
        <f>IF(OR(표1_3[[#This Row],[등급]]="명서",(표1_3[[#This Row],[등급]]="고급")),IF(AH18="","",AH18*$AR18),"")</f>
        <v>60</v>
      </c>
      <c r="AT18" s="8" t="str">
        <f>IF(OR(표1_3[[#This Row],[등급]]="명서",(표1_3[[#This Row],[등급]]="고급")),IF(AI18="","",AI18*$AR18),"")</f>
        <v/>
      </c>
      <c r="AU18" s="8">
        <f>IF(OR(표1_3[[#This Row],[등급]]="명서",(표1_3[[#This Row],[등급]]="고급")),IF(AJ18="","",AJ18*$AR18),"")</f>
        <v>30</v>
      </c>
      <c r="AV18" s="8" t="str">
        <f>IF(OR(표1_3[[#This Row],[등급]]="명서",(표1_3[[#This Row],[등급]]="고급")),IF(AK18="","",AK18*$AR18),"")</f>
        <v/>
      </c>
      <c r="AW18" s="8" t="str">
        <f>IF(OR(표1_3[[#This Row],[등급]]="명서",(표1_3[[#This Row],[등급]]="고급")),IF(AL18="","",AL18*$AR18),"")</f>
        <v/>
      </c>
      <c r="AX18" s="8">
        <f>IF(OR(표1_3[[#This Row],[등급]]="명서",(표1_3[[#This Row],[등급]]="고급")),IF(AM18="","",AM18*$AR18),"")</f>
        <v>30</v>
      </c>
      <c r="AY18" s="8" t="str">
        <f>IF(OR(표1_3[[#This Row],[등급]]="명서",(표1_3[[#This Row],[등급]]="고급")),IF(AN18="","",AN18*$AR18),"")</f>
        <v/>
      </c>
      <c r="AZ18" s="8" t="str">
        <f>IF(OR(표1_3[[#This Row],[등급]]="명서",(표1_3[[#This Row],[등급]]="고급")),IF(AO18="","",AO18*$AR18),"")</f>
        <v/>
      </c>
      <c r="BA18" s="8" t="str">
        <f>IF(OR(표1_3[[#This Row],[등급]]="명서",(표1_3[[#This Row],[등급]]="고급")),IF(AP18="","",AP18*$AR18),"")</f>
        <v/>
      </c>
      <c r="BB18" s="8" t="str">
        <f>IF(OR(표1_3[[#This Row],[등급]]="명서",(표1_3[[#This Row],[등급]]="고급")),IF(AQ18="","",AQ18*$AR18),"")</f>
        <v/>
      </c>
    </row>
    <row r="19" spans="1:54" x14ac:dyDescent="0.3">
      <c r="A19" s="5" t="s">
        <v>11</v>
      </c>
      <c r="B19" s="6" t="s">
        <v>34</v>
      </c>
      <c r="C19" s="203" t="s">
        <v>799</v>
      </c>
      <c r="D19" s="7" t="s">
        <v>35</v>
      </c>
      <c r="E19" s="7">
        <f t="array" ref="E19">INDEX(표1[내 책 등급], MATCH(1, (표1[사용자] ='성장 시뮬레이터'!$B$1) * (표1[책이름] = D19), 0))</f>
        <v>10</v>
      </c>
      <c r="F19" s="6" t="s">
        <v>14</v>
      </c>
      <c r="G19" s="142">
        <v>89</v>
      </c>
      <c r="H19" s="8" t="str">
        <f>IF(ISNUMBER(SEARCH("여", F19)), IF('성장 시뮬레이터'!$C$9=2, "O", "X"), "O")</f>
        <v>O</v>
      </c>
      <c r="I19" s="8" t="str">
        <f>IF(OR(ISNUMBER(SEARCH("위나라", F19)), ISNUMBER(SEARCH("촉나라", F19)), ISNUMBER(SEARCH("오나라", F19)), ISNUMBER(SEARCH("군웅", F19))), IF(ISNUMBER(SEARCH('성장 시뮬레이터'!$C$10, F19)), "O", "X"), "O")</f>
        <v>O</v>
      </c>
      <c r="J19" s="8" t="str">
        <f>IF(
    AND(
        H19="O",
        I19="O",
        IF(ISNUMBER(SEARCH("무력+지력", F19)), ('성장 시뮬레이터'!$G$5+'성장 시뮬레이터'!$G$6) &gt;= G19,
           IF(ISNUMBER(SEARCH("무력", F19)), '성장 시뮬레이터'!$G$5 &gt;= G19,
           IF(ISNUMBER(SEARCH("지력", F19)), '성장 시뮬레이터'!$G$6 &gt;= G19,
           IF(ISNUMBER(SEARCH("내력", F19)), '성장 시뮬레이터'!$G$7 &gt;= G19,
           IF(ISNUMBER(SEARCH("체력", F19)), '성장 시뮬레이터'!$G$8 &gt;= G19, FALSE)))))
    ), "O", "X")</f>
        <v>O</v>
      </c>
      <c r="K19" s="106" t="str">
        <f>IF(
    AND(
        H19="O",
        I19="O",
        IF(ISNUMBER(SEARCH("무력+지력", F19)), ('성장 시뮬레이터'!$I$5+'성장 시뮬레이터'!$I$6) &gt;= G19,
           IF(ISNUMBER(SEARCH("무력", F19)), '성장 시뮬레이터'!$I$5 &gt;= G19,
           IF(ISNUMBER(SEARCH("지력", F19)), '성장 시뮬레이터'!$I$6 &gt;= G19,
           IF(ISNUMBER(SEARCH("내력", F19)), '성장 시뮬레이터'!$I$7 &gt;= G19,
           IF(ISNUMBER(SEARCH("체력", F19)), '성장 시뮬레이터'!$I$8 &gt;= G19, FALSE)))))
    ), "O", "X")</f>
        <v>O</v>
      </c>
      <c r="L19" s="106" t="str">
        <f>IF(
    AND(
        H19="O",
        I19="O",
        IF(ISNUMBER(SEARCH("무력+지력", F19)), ('성장 시뮬레이터'!$K$5+'성장 시뮬레이터'!$K$6) &gt;= G19,
           IF(ISNUMBER(SEARCH("무력", F19)), '성장 시뮬레이터'!$K$5 &gt;= G19,
           IF(ISNUMBER(SEARCH("지력", F19)), '성장 시뮬레이터'!$K$6 &gt;= G19,
           IF(ISNUMBER(SEARCH("내력", F19)), '성장 시뮬레이터'!$K$7 &gt;= G19,
           IF(ISNUMBER(SEARCH("체력", F19)), '성장 시뮬레이터'!$K$8 &gt;= G19, FALSE)))))
    ), "O", "X")</f>
        <v>O</v>
      </c>
      <c r="M19" s="106" t="str">
        <f>IF(
    AND(
        H19="O",
        I19="O",
        IF(ISNUMBER(SEARCH("무력+지력", F19)), ('성장 시뮬레이터'!$M$5+'성장 시뮬레이터'!$M$6) &gt;= G19,
           IF(ISNUMBER(SEARCH("무력", F19)), '성장 시뮬레이터'!$M$5 &gt;= G19,
           IF(ISNUMBER(SEARCH("지력", F19)), '성장 시뮬레이터'!$M$6 &gt;= G19,
           IF(ISNUMBER(SEARCH("내력", F19)), '성장 시뮬레이터'!$M$7 &gt;= G19,
           IF(ISNUMBER(SEARCH("체력", F19)), '성장 시뮬레이터'!$M$8 &gt;= G19, FALSE)))))
    ), "O", "X")</f>
        <v>O</v>
      </c>
      <c r="N19" s="106" t="str">
        <f>IF(
    AND(
        H19="O",
        I19="O",
        IF(ISNUMBER(SEARCH("무력+지력", F19)), ('성장 시뮬레이터'!$O$5+'성장 시뮬레이터'!$O$6) &gt;= G19,
           IF(ISNUMBER(SEARCH("무력", F19)), '성장 시뮬레이터'!$O$5 &gt;= G19,
           IF(ISNUMBER(SEARCH("지력", F19)), '성장 시뮬레이터'!$O$6 &gt;= G19,
           IF(ISNUMBER(SEARCH("내력", F19)), '성장 시뮬레이터'!$O$7 &gt;= G19,
           IF(ISNUMBER(SEARCH("체력", F19)), '성장 시뮬레이터'!$O$8 &gt;= G19, FALSE)))))
    ), "O", "X")</f>
        <v>O</v>
      </c>
      <c r="O19" s="106" t="str">
        <f>IF(
    AND(
        H19="O",
        I19="O",
        IF(ISNUMBER(SEARCH("무력+지력", F19)), ('성장 시뮬레이터'!$Q$5+'성장 시뮬레이터'!$Q$6) &gt;= G19,
           IF(ISNUMBER(SEARCH("무력", F19)), '성장 시뮬레이터'!$Q$5 &gt;= G19,
           IF(ISNUMBER(SEARCH("지력", F19)), '성장 시뮬레이터'!$Q$6 &gt;= G19,
           IF(ISNUMBER(SEARCH("내력", F19)), '성장 시뮬레이터'!$Q$7 &gt;= G19,
           IF(ISNUMBER(SEARCH("체력", F19)), '성장 시뮬레이터'!$Q$8 &gt;= G19, FALSE)))))
    ), "O", "X")</f>
        <v>O</v>
      </c>
      <c r="P19" s="106" t="s">
        <v>904</v>
      </c>
      <c r="Q19" s="142" t="str">
        <f t="shared" si="0"/>
        <v/>
      </c>
      <c r="R19" s="142">
        <f t="shared" si="1"/>
        <v>95</v>
      </c>
      <c r="S19" s="142" t="str">
        <f t="shared" si="2"/>
        <v/>
      </c>
      <c r="T19" s="142" t="str">
        <f t="shared" si="3"/>
        <v/>
      </c>
      <c r="U19" s="142" t="str">
        <f t="shared" si="4"/>
        <v/>
      </c>
      <c r="V19" s="142" t="str">
        <f t="shared" si="5"/>
        <v/>
      </c>
      <c r="W19" s="142" t="str">
        <f t="shared" si="6"/>
        <v/>
      </c>
      <c r="X19" s="142">
        <f t="shared" si="7"/>
        <v>190</v>
      </c>
      <c r="Y19" s="142" t="str">
        <f t="shared" si="8"/>
        <v/>
      </c>
      <c r="Z19" s="142" t="str">
        <f t="shared" si="9"/>
        <v/>
      </c>
      <c r="AA19" s="9" t="s">
        <v>36</v>
      </c>
      <c r="AB19" s="9"/>
      <c r="AC19" s="9"/>
      <c r="AD19" s="9"/>
      <c r="AE19" s="10"/>
      <c r="AF19" s="143" t="s">
        <v>37</v>
      </c>
      <c r="AH19" s="8"/>
      <c r="AI19" s="8">
        <v>15</v>
      </c>
      <c r="AJ19" s="8"/>
      <c r="AK19" s="8"/>
      <c r="AL19" s="8"/>
      <c r="AM19" s="8"/>
      <c r="AN19" s="8"/>
      <c r="AO19" s="8">
        <v>30</v>
      </c>
      <c r="AP19" s="8"/>
      <c r="AQ19" s="8"/>
      <c r="AR19" s="104" t="s">
        <v>647</v>
      </c>
      <c r="AS19" s="8"/>
      <c r="AT19" s="8">
        <v>20</v>
      </c>
      <c r="AU19" s="8"/>
      <c r="AV19" s="8"/>
      <c r="AW19" s="8"/>
      <c r="AX19" s="8"/>
      <c r="AY19" s="8"/>
      <c r="AZ19" s="8">
        <v>40</v>
      </c>
      <c r="BA19" s="8"/>
      <c r="BB19" s="8"/>
    </row>
    <row r="20" spans="1:54" x14ac:dyDescent="0.3">
      <c r="A20" s="5" t="s">
        <v>11</v>
      </c>
      <c r="B20" s="106" t="s">
        <v>34</v>
      </c>
      <c r="C20" s="203" t="s">
        <v>799</v>
      </c>
      <c r="D20" s="105" t="s">
        <v>38</v>
      </c>
      <c r="E20" s="7">
        <f t="array" ref="E20">INDEX(표1[내 책 등급], MATCH(1, (표1[사용자] ='성장 시뮬레이터'!$B$1) * (표1[책이름] = D20), 0))</f>
        <v>10</v>
      </c>
      <c r="F20" s="106" t="s">
        <v>21</v>
      </c>
      <c r="G20" s="147">
        <v>89</v>
      </c>
      <c r="H20" s="8" t="str">
        <f>IF(ISNUMBER(SEARCH("여", F20)), IF('성장 시뮬레이터'!$C$9=2, "O", "X"), "O")</f>
        <v>O</v>
      </c>
      <c r="I20" s="8" t="str">
        <f>IF(OR(ISNUMBER(SEARCH("위나라", F20)), ISNUMBER(SEARCH("촉나라", F20)), ISNUMBER(SEARCH("오나라", F20)), ISNUMBER(SEARCH("군웅", F20))), IF(ISNUMBER(SEARCH('성장 시뮬레이터'!$C$10, F20)), "O", "X"), "O")</f>
        <v>O</v>
      </c>
      <c r="J20" s="106" t="str">
        <f>IF(
    AND(
        H20="O",
        I20="O",
        IF(ISNUMBER(SEARCH("무력+지력", F20)), ('성장 시뮬레이터'!$G$5+'성장 시뮬레이터'!$G$6) &gt;= G20,
           IF(ISNUMBER(SEARCH("무력", F20)), '성장 시뮬레이터'!$G$5 &gt;= G20,
           IF(ISNUMBER(SEARCH("지력", F20)), '성장 시뮬레이터'!$G$6 &gt;= G20,
           IF(ISNUMBER(SEARCH("내력", F20)), '성장 시뮬레이터'!$G$7 &gt;= G20,
           IF(ISNUMBER(SEARCH("체력", F20)), '성장 시뮬레이터'!$G$8 &gt;= G20, FALSE)))))
    ), "O", "X")</f>
        <v>X</v>
      </c>
      <c r="K20" s="106" t="str">
        <f>IF(
    AND(
        H20="O",
        I20="O",
        IF(ISNUMBER(SEARCH("무력+지력", F20)), ('성장 시뮬레이터'!$I$5+'성장 시뮬레이터'!$I$6) &gt;= G20,
           IF(ISNUMBER(SEARCH("무력", F20)), '성장 시뮬레이터'!$I$5 &gt;= G20,
           IF(ISNUMBER(SEARCH("지력", F20)), '성장 시뮬레이터'!$I$6 &gt;= G20,
           IF(ISNUMBER(SEARCH("내력", F20)), '성장 시뮬레이터'!$I$7 &gt;= G20,
           IF(ISNUMBER(SEARCH("체력", F20)), '성장 시뮬레이터'!$I$8 &gt;= G20, FALSE)))))
    ), "O", "X")</f>
        <v>X</v>
      </c>
      <c r="L20" s="106" t="str">
        <f>IF(
    AND(
        H20="O",
        I20="O",
        IF(ISNUMBER(SEARCH("무력+지력", F20)), ('성장 시뮬레이터'!$K$5+'성장 시뮬레이터'!$K$6) &gt;= G20,
           IF(ISNUMBER(SEARCH("무력", F20)), '성장 시뮬레이터'!$K$5 &gt;= G20,
           IF(ISNUMBER(SEARCH("지력", F20)), '성장 시뮬레이터'!$K$6 &gt;= G20,
           IF(ISNUMBER(SEARCH("내력", F20)), '성장 시뮬레이터'!$K$7 &gt;= G20,
           IF(ISNUMBER(SEARCH("체력", F20)), '성장 시뮬레이터'!$K$8 &gt;= G20, FALSE)))))
    ), "O", "X")</f>
        <v>O</v>
      </c>
      <c r="M20" s="106" t="str">
        <f>IF(
    AND(
        H20="O",
        I20="O",
        IF(ISNUMBER(SEARCH("무력+지력", F20)), ('성장 시뮬레이터'!$M$5+'성장 시뮬레이터'!$M$6) &gt;= G20,
           IF(ISNUMBER(SEARCH("무력", F20)), '성장 시뮬레이터'!$M$5 &gt;= G20,
           IF(ISNUMBER(SEARCH("지력", F20)), '성장 시뮬레이터'!$M$6 &gt;= G20,
           IF(ISNUMBER(SEARCH("내력", F20)), '성장 시뮬레이터'!$M$7 &gt;= G20,
           IF(ISNUMBER(SEARCH("체력", F20)), '성장 시뮬레이터'!$M$8 &gt;= G20, FALSE)))))
    ), "O", "X")</f>
        <v>O</v>
      </c>
      <c r="N20" s="106" t="str">
        <f>IF(
    AND(
        H20="O",
        I20="O",
        IF(ISNUMBER(SEARCH("무력+지력", F20)), ('성장 시뮬레이터'!$O$5+'성장 시뮬레이터'!$O$6) &gt;= G20,
           IF(ISNUMBER(SEARCH("무력", F20)), '성장 시뮬레이터'!$O$5 &gt;= G20,
           IF(ISNUMBER(SEARCH("지력", F20)), '성장 시뮬레이터'!$O$6 &gt;= G20,
           IF(ISNUMBER(SEARCH("내력", F20)), '성장 시뮬레이터'!$O$7 &gt;= G20,
           IF(ISNUMBER(SEARCH("체력", F20)), '성장 시뮬레이터'!$O$8 &gt;= G20, FALSE)))))
    ), "O", "X")</f>
        <v>O</v>
      </c>
      <c r="O20" s="106" t="str">
        <f>IF(
    AND(
        H20="O",
        I20="O",
        IF(ISNUMBER(SEARCH("무력+지력", F20)), ('성장 시뮬레이터'!$Q$5+'성장 시뮬레이터'!$Q$6) &gt;= G20,
           IF(ISNUMBER(SEARCH("무력", F20)), '성장 시뮬레이터'!$Q$5 &gt;= G20,
           IF(ISNUMBER(SEARCH("지력", F20)), '성장 시뮬레이터'!$Q$6 &gt;= G20,
           IF(ISNUMBER(SEARCH("내력", F20)), '성장 시뮬레이터'!$Q$7 &gt;= G20,
           IF(ISNUMBER(SEARCH("체력", F20)), '성장 시뮬레이터'!$Q$8 &gt;= G20, FALSE)))))
    ), "O", "X")</f>
        <v>O</v>
      </c>
      <c r="P20" s="106" t="s">
        <v>904</v>
      </c>
      <c r="Q20" s="142" t="str">
        <f t="shared" si="0"/>
        <v/>
      </c>
      <c r="R20" s="142" t="str">
        <f t="shared" si="1"/>
        <v/>
      </c>
      <c r="S20" s="142">
        <f t="shared" si="2"/>
        <v>155</v>
      </c>
      <c r="T20" s="142" t="str">
        <f t="shared" si="3"/>
        <v/>
      </c>
      <c r="U20" s="142">
        <f t="shared" si="4"/>
        <v>310</v>
      </c>
      <c r="V20" s="142" t="str">
        <f t="shared" si="5"/>
        <v/>
      </c>
      <c r="W20" s="142" t="str">
        <f t="shared" si="6"/>
        <v/>
      </c>
      <c r="X20" s="142" t="str">
        <f t="shared" si="7"/>
        <v/>
      </c>
      <c r="Y20" s="142" t="str">
        <f t="shared" si="8"/>
        <v/>
      </c>
      <c r="Z20" s="142" t="str">
        <f t="shared" si="9"/>
        <v/>
      </c>
      <c r="AA20" s="11" t="s">
        <v>39</v>
      </c>
      <c r="AB20" s="11"/>
      <c r="AC20" s="11"/>
      <c r="AD20" s="11"/>
      <c r="AE20" s="12"/>
      <c r="AF20" s="144" t="s">
        <v>40</v>
      </c>
      <c r="AH20" s="8"/>
      <c r="AI20" s="8"/>
      <c r="AJ20" s="8">
        <v>25</v>
      </c>
      <c r="AK20" s="8"/>
      <c r="AL20" s="8">
        <v>50</v>
      </c>
      <c r="AM20" s="8"/>
      <c r="AN20" s="8"/>
      <c r="AO20" s="8"/>
      <c r="AP20" s="8"/>
      <c r="AQ20" s="8"/>
      <c r="AR20" s="104" t="s">
        <v>647</v>
      </c>
      <c r="AS20" s="8"/>
      <c r="AT20" s="8"/>
      <c r="AU20" s="8">
        <v>30</v>
      </c>
      <c r="AV20" s="8"/>
      <c r="AW20" s="8">
        <v>60</v>
      </c>
      <c r="AX20" s="8"/>
      <c r="AY20" s="8"/>
      <c r="AZ20" s="8"/>
      <c r="BA20" s="8"/>
      <c r="BB20" s="8"/>
    </row>
    <row r="21" spans="1:54" x14ac:dyDescent="0.3">
      <c r="A21" s="5" t="s">
        <v>11</v>
      </c>
      <c r="B21" s="106" t="s">
        <v>41</v>
      </c>
      <c r="C21" s="203" t="s">
        <v>799</v>
      </c>
      <c r="D21" s="105" t="s">
        <v>42</v>
      </c>
      <c r="E21" s="7">
        <f t="array" ref="E21">INDEX(표1[내 책 등급], MATCH(1, (표1[사용자] ='성장 시뮬레이터'!$B$1) * (표1[책이름] = D21), 0))</f>
        <v>5</v>
      </c>
      <c r="F21" s="106" t="s">
        <v>21</v>
      </c>
      <c r="G21" s="147">
        <v>90</v>
      </c>
      <c r="H21" s="8" t="str">
        <f>IF(ISNUMBER(SEARCH("여", F21)), IF('성장 시뮬레이터'!$C$9=2, "O", "X"), "O")</f>
        <v>O</v>
      </c>
      <c r="I21" s="8" t="str">
        <f>IF(OR(ISNUMBER(SEARCH("위나라", F21)), ISNUMBER(SEARCH("촉나라", F21)), ISNUMBER(SEARCH("오나라", F21)), ISNUMBER(SEARCH("군웅", F21))), IF(ISNUMBER(SEARCH('성장 시뮬레이터'!$C$10, F21)), "O", "X"), "O")</f>
        <v>O</v>
      </c>
      <c r="J21" s="106" t="str">
        <f>IF(
    AND(
        H21="O",
        I21="O",
        IF(ISNUMBER(SEARCH("무력+지력", F21)), ('성장 시뮬레이터'!$G$5+'성장 시뮬레이터'!$G$6) &gt;= G21,
           IF(ISNUMBER(SEARCH("무력", F21)), '성장 시뮬레이터'!$G$5 &gt;= G21,
           IF(ISNUMBER(SEARCH("지력", F21)), '성장 시뮬레이터'!$G$6 &gt;= G21,
           IF(ISNUMBER(SEARCH("내력", F21)), '성장 시뮬레이터'!$G$7 &gt;= G21,
           IF(ISNUMBER(SEARCH("체력", F21)), '성장 시뮬레이터'!$G$8 &gt;= G21, FALSE)))))
    ), "O", "X")</f>
        <v>X</v>
      </c>
      <c r="K21" s="106" t="str">
        <f>IF(
    AND(
        H21="O",
        I21="O",
        IF(ISNUMBER(SEARCH("무력+지력", F21)), ('성장 시뮬레이터'!$I$5+'성장 시뮬레이터'!$I$6) &gt;= G21,
           IF(ISNUMBER(SEARCH("무력", F21)), '성장 시뮬레이터'!$I$5 &gt;= G21,
           IF(ISNUMBER(SEARCH("지력", F21)), '성장 시뮬레이터'!$I$6 &gt;= G21,
           IF(ISNUMBER(SEARCH("내력", F21)), '성장 시뮬레이터'!$I$7 &gt;= G21,
           IF(ISNUMBER(SEARCH("체력", F21)), '성장 시뮬레이터'!$I$8 &gt;= G21, FALSE)))))
    ), "O", "X")</f>
        <v>X</v>
      </c>
      <c r="L21" s="106" t="str">
        <f>IF(
    AND(
        H21="O",
        I21="O",
        IF(ISNUMBER(SEARCH("무력+지력", F21)), ('성장 시뮬레이터'!$K$5+'성장 시뮬레이터'!$K$6) &gt;= G21,
           IF(ISNUMBER(SEARCH("무력", F21)), '성장 시뮬레이터'!$K$5 &gt;= G21,
           IF(ISNUMBER(SEARCH("지력", F21)), '성장 시뮬레이터'!$K$6 &gt;= G21,
           IF(ISNUMBER(SEARCH("내력", F21)), '성장 시뮬레이터'!$K$7 &gt;= G21,
           IF(ISNUMBER(SEARCH("체력", F21)), '성장 시뮬레이터'!$K$8 &gt;= G21, FALSE)))))
    ), "O", "X")</f>
        <v>O</v>
      </c>
      <c r="M21" s="106" t="str">
        <f>IF(
    AND(
        H21="O",
        I21="O",
        IF(ISNUMBER(SEARCH("무력+지력", F21)), ('성장 시뮬레이터'!$M$5+'성장 시뮬레이터'!$M$6) &gt;= G21,
           IF(ISNUMBER(SEARCH("무력", F21)), '성장 시뮬레이터'!$M$5 &gt;= G21,
           IF(ISNUMBER(SEARCH("지력", F21)), '성장 시뮬레이터'!$M$6 &gt;= G21,
           IF(ISNUMBER(SEARCH("내력", F21)), '성장 시뮬레이터'!$M$7 &gt;= G21,
           IF(ISNUMBER(SEARCH("체력", F21)), '성장 시뮬레이터'!$M$8 &gt;= G21, FALSE)))))
    ), "O", "X")</f>
        <v>O</v>
      </c>
      <c r="N21" s="106" t="str">
        <f>IF(
    AND(
        H21="O",
        I21="O",
        IF(ISNUMBER(SEARCH("무력+지력", F21)), ('성장 시뮬레이터'!$O$5+'성장 시뮬레이터'!$O$6) &gt;= G21,
           IF(ISNUMBER(SEARCH("무력", F21)), '성장 시뮬레이터'!$O$5 &gt;= G21,
           IF(ISNUMBER(SEARCH("지력", F21)), '성장 시뮬레이터'!$O$6 &gt;= G21,
           IF(ISNUMBER(SEARCH("내력", F21)), '성장 시뮬레이터'!$O$7 &gt;= G21,
           IF(ISNUMBER(SEARCH("체력", F21)), '성장 시뮬레이터'!$O$8 &gt;= G21, FALSE)))))
    ), "O", "X")</f>
        <v>O</v>
      </c>
      <c r="O21" s="106" t="str">
        <f>IF(
    AND(
        H21="O",
        I21="O",
        IF(ISNUMBER(SEARCH("무력+지력", F21)), ('성장 시뮬레이터'!$Q$5+'성장 시뮬레이터'!$Q$6) &gt;= G21,
           IF(ISNUMBER(SEARCH("무력", F21)), '성장 시뮬레이터'!$Q$5 &gt;= G21,
           IF(ISNUMBER(SEARCH("지력", F21)), '성장 시뮬레이터'!$Q$6 &gt;= G21,
           IF(ISNUMBER(SEARCH("내력", F21)), '성장 시뮬레이터'!$Q$7 &gt;= G21,
           IF(ISNUMBER(SEARCH("체력", F21)), '성장 시뮬레이터'!$Q$8 &gt;= G21, FALSE)))))
    ), "O", "X")</f>
        <v>O</v>
      </c>
      <c r="P21" s="106" t="s">
        <v>904</v>
      </c>
      <c r="Q21" s="142" t="str">
        <f t="shared" si="0"/>
        <v/>
      </c>
      <c r="R21" s="142" t="str">
        <f t="shared" si="1"/>
        <v/>
      </c>
      <c r="S21" s="142" t="str">
        <f t="shared" si="2"/>
        <v/>
      </c>
      <c r="T21" s="142" t="str">
        <f t="shared" si="3"/>
        <v/>
      </c>
      <c r="U21" s="142">
        <f t="shared" si="4"/>
        <v>70</v>
      </c>
      <c r="V21" s="142" t="str">
        <f t="shared" si="5"/>
        <v/>
      </c>
      <c r="W21" s="142" t="str">
        <f t="shared" si="6"/>
        <v/>
      </c>
      <c r="X21" s="142" t="str">
        <f t="shared" si="7"/>
        <v/>
      </c>
      <c r="Y21" s="142" t="str">
        <f t="shared" si="8"/>
        <v/>
      </c>
      <c r="Z21" s="142" t="str">
        <f t="shared" si="9"/>
        <v/>
      </c>
      <c r="AA21" s="9" t="s">
        <v>653</v>
      </c>
      <c r="AB21" s="9" t="s">
        <v>43</v>
      </c>
      <c r="AC21" s="9" t="s">
        <v>43</v>
      </c>
      <c r="AD21" s="9" t="s">
        <v>43</v>
      </c>
      <c r="AE21" s="10" t="s">
        <v>43</v>
      </c>
      <c r="AF21" s="143" t="s">
        <v>43</v>
      </c>
      <c r="AH21" s="8"/>
      <c r="AI21" s="8"/>
      <c r="AJ21" s="8"/>
      <c r="AK21" s="8"/>
      <c r="AL21" s="8">
        <v>70</v>
      </c>
      <c r="AM21" s="8"/>
      <c r="AN21" s="8"/>
      <c r="AO21" s="8"/>
      <c r="AP21" s="8"/>
      <c r="AQ21" s="8"/>
      <c r="AR21" s="103"/>
      <c r="AS21" s="8" t="str">
        <f>IF(OR(표1_3[[#This Row],[등급]]="명서",(표1_3[[#This Row],[등급]]="고급")),IF(AH21="","",AH21*$AR21),"")</f>
        <v/>
      </c>
      <c r="AT21" s="8" t="str">
        <f>IF(OR(표1_3[[#This Row],[등급]]="명서",(표1_3[[#This Row],[등급]]="고급")),IF(AI21="","",AI21*$AR21),"")</f>
        <v/>
      </c>
      <c r="AU21" s="8" t="str">
        <f>IF(OR(표1_3[[#This Row],[등급]]="명서",(표1_3[[#This Row],[등급]]="고급")),IF(AJ21="","",AJ21*$AR21),"")</f>
        <v/>
      </c>
      <c r="AV21" s="8" t="str">
        <f>IF(OR(표1_3[[#This Row],[등급]]="명서",(표1_3[[#This Row],[등급]]="고급")),IF(AK21="","",AK21*$AR21),"")</f>
        <v/>
      </c>
      <c r="AW21" s="8" t="str">
        <f>IF(OR(표1_3[[#This Row],[등급]]="명서",(표1_3[[#This Row],[등급]]="고급")),IF(AL21="","",AL21*$AR21),"")</f>
        <v/>
      </c>
      <c r="AX21" s="8" t="str">
        <f>IF(OR(표1_3[[#This Row],[등급]]="명서",(표1_3[[#This Row],[등급]]="고급")),IF(AM21="","",AM21*$AR21),"")</f>
        <v/>
      </c>
      <c r="AY21" s="8" t="str">
        <f>IF(OR(표1_3[[#This Row],[등급]]="명서",(표1_3[[#This Row],[등급]]="고급")),IF(AN21="","",AN21*$AR21),"")</f>
        <v/>
      </c>
      <c r="AZ21" s="8" t="str">
        <f>IF(OR(표1_3[[#This Row],[등급]]="명서",(표1_3[[#This Row],[등급]]="고급")),IF(AO21="","",AO21*$AR21),"")</f>
        <v/>
      </c>
      <c r="BA21" s="8" t="str">
        <f>IF(OR(표1_3[[#This Row],[등급]]="명서",(표1_3[[#This Row],[등급]]="고급")),IF(AP21="","",AP21*$AR21),"")</f>
        <v/>
      </c>
      <c r="BB21" s="8" t="str">
        <f>IF(OR(표1_3[[#This Row],[등급]]="명서",(표1_3[[#This Row],[등급]]="고급")),IF(AQ21="","",AQ21*$AR21),"")</f>
        <v/>
      </c>
    </row>
    <row r="22" spans="1:54" x14ac:dyDescent="0.3">
      <c r="A22" s="5" t="s">
        <v>11</v>
      </c>
      <c r="B22" s="106" t="s">
        <v>41</v>
      </c>
      <c r="C22" s="203" t="s">
        <v>799</v>
      </c>
      <c r="D22" s="105" t="s">
        <v>44</v>
      </c>
      <c r="E22" s="7">
        <f t="array" ref="E22">INDEX(표1[내 책 등급], MATCH(1, (표1[사용자] ='성장 시뮬레이터'!$B$1) * (표1[책이름] = D22), 0))</f>
        <v>5</v>
      </c>
      <c r="F22" s="106" t="s">
        <v>14</v>
      </c>
      <c r="G22" s="147">
        <v>81</v>
      </c>
      <c r="H22" s="8" t="str">
        <f>IF(ISNUMBER(SEARCH("여", F22)), IF('성장 시뮬레이터'!$C$9=2, "O", "X"), "O")</f>
        <v>O</v>
      </c>
      <c r="I22" s="8" t="str">
        <f>IF(OR(ISNUMBER(SEARCH("위나라", F22)), ISNUMBER(SEARCH("촉나라", F22)), ISNUMBER(SEARCH("오나라", F22)), ISNUMBER(SEARCH("군웅", F22))), IF(ISNUMBER(SEARCH('성장 시뮬레이터'!$C$10, F22)), "O", "X"), "O")</f>
        <v>O</v>
      </c>
      <c r="J22" s="106" t="str">
        <f>IF(
    AND(
        H22="O",
        I22="O",
        IF(ISNUMBER(SEARCH("무력+지력", F22)), ('성장 시뮬레이터'!$G$5+'성장 시뮬레이터'!$G$6) &gt;= G22,
           IF(ISNUMBER(SEARCH("무력", F22)), '성장 시뮬레이터'!$G$5 &gt;= G22,
           IF(ISNUMBER(SEARCH("지력", F22)), '성장 시뮬레이터'!$G$6 &gt;= G22,
           IF(ISNUMBER(SEARCH("내력", F22)), '성장 시뮬레이터'!$G$7 &gt;= G22,
           IF(ISNUMBER(SEARCH("체력", F22)), '성장 시뮬레이터'!$G$8 &gt;= G22, FALSE)))))
    ), "O", "X")</f>
        <v>O</v>
      </c>
      <c r="K22" s="106" t="str">
        <f>IF(
    AND(
        H22="O",
        I22="O",
        IF(ISNUMBER(SEARCH("무력+지력", F22)), ('성장 시뮬레이터'!$I$5+'성장 시뮬레이터'!$I$6) &gt;= G22,
           IF(ISNUMBER(SEARCH("무력", F22)), '성장 시뮬레이터'!$I$5 &gt;= G22,
           IF(ISNUMBER(SEARCH("지력", F22)), '성장 시뮬레이터'!$I$6 &gt;= G22,
           IF(ISNUMBER(SEARCH("내력", F22)), '성장 시뮬레이터'!$I$7 &gt;= G22,
           IF(ISNUMBER(SEARCH("체력", F22)), '성장 시뮬레이터'!$I$8 &gt;= G22, FALSE)))))
    ), "O", "X")</f>
        <v>O</v>
      </c>
      <c r="L22" s="106" t="str">
        <f>IF(
    AND(
        H22="O",
        I22="O",
        IF(ISNUMBER(SEARCH("무력+지력", F22)), ('성장 시뮬레이터'!$K$5+'성장 시뮬레이터'!$K$6) &gt;= G22,
           IF(ISNUMBER(SEARCH("무력", F22)), '성장 시뮬레이터'!$K$5 &gt;= G22,
           IF(ISNUMBER(SEARCH("지력", F22)), '성장 시뮬레이터'!$K$6 &gt;= G22,
           IF(ISNUMBER(SEARCH("내력", F22)), '성장 시뮬레이터'!$K$7 &gt;= G22,
           IF(ISNUMBER(SEARCH("체력", F22)), '성장 시뮬레이터'!$K$8 &gt;= G22, FALSE)))))
    ), "O", "X")</f>
        <v>O</v>
      </c>
      <c r="M22" s="106" t="str">
        <f>IF(
    AND(
        H22="O",
        I22="O",
        IF(ISNUMBER(SEARCH("무력+지력", F22)), ('성장 시뮬레이터'!$M$5+'성장 시뮬레이터'!$M$6) &gt;= G22,
           IF(ISNUMBER(SEARCH("무력", F22)), '성장 시뮬레이터'!$M$5 &gt;= G22,
           IF(ISNUMBER(SEARCH("지력", F22)), '성장 시뮬레이터'!$M$6 &gt;= G22,
           IF(ISNUMBER(SEARCH("내력", F22)), '성장 시뮬레이터'!$M$7 &gt;= G22,
           IF(ISNUMBER(SEARCH("체력", F22)), '성장 시뮬레이터'!$M$8 &gt;= G22, FALSE)))))
    ), "O", "X")</f>
        <v>O</v>
      </c>
      <c r="N22" s="106" t="str">
        <f>IF(
    AND(
        H22="O",
        I22="O",
        IF(ISNUMBER(SEARCH("무력+지력", F22)), ('성장 시뮬레이터'!$O$5+'성장 시뮬레이터'!$O$6) &gt;= G22,
           IF(ISNUMBER(SEARCH("무력", F22)), '성장 시뮬레이터'!$O$5 &gt;= G22,
           IF(ISNUMBER(SEARCH("지력", F22)), '성장 시뮬레이터'!$O$6 &gt;= G22,
           IF(ISNUMBER(SEARCH("내력", F22)), '성장 시뮬레이터'!$O$7 &gt;= G22,
           IF(ISNUMBER(SEARCH("체력", F22)), '성장 시뮬레이터'!$O$8 &gt;= G22, FALSE)))))
    ), "O", "X")</f>
        <v>O</v>
      </c>
      <c r="O22" s="106" t="str">
        <f>IF(
    AND(
        H22="O",
        I22="O",
        IF(ISNUMBER(SEARCH("무력+지력", F22)), ('성장 시뮬레이터'!$Q$5+'성장 시뮬레이터'!$Q$6) &gt;= G22,
           IF(ISNUMBER(SEARCH("무력", F22)), '성장 시뮬레이터'!$Q$5 &gt;= G22,
           IF(ISNUMBER(SEARCH("지력", F22)), '성장 시뮬레이터'!$Q$6 &gt;= G22,
           IF(ISNUMBER(SEARCH("내력", F22)), '성장 시뮬레이터'!$Q$7 &gt;= G22,
           IF(ISNUMBER(SEARCH("체력", F22)), '성장 시뮬레이터'!$Q$8 &gt;= G22, FALSE)))))
    ), "O", "X")</f>
        <v>O</v>
      </c>
      <c r="P22" s="106" t="s">
        <v>904</v>
      </c>
      <c r="Q22" s="142" t="str">
        <f t="shared" si="0"/>
        <v/>
      </c>
      <c r="R22" s="142" t="str">
        <f t="shared" si="1"/>
        <v/>
      </c>
      <c r="S22" s="142" t="str">
        <f t="shared" si="2"/>
        <v/>
      </c>
      <c r="T22" s="142" t="str">
        <f t="shared" si="3"/>
        <v/>
      </c>
      <c r="U22" s="142" t="str">
        <f t="shared" si="4"/>
        <v/>
      </c>
      <c r="V22" s="142" t="str">
        <f t="shared" si="5"/>
        <v/>
      </c>
      <c r="W22" s="142" t="str">
        <f t="shared" si="6"/>
        <v/>
      </c>
      <c r="X22" s="142">
        <f t="shared" si="7"/>
        <v>50</v>
      </c>
      <c r="Y22" s="142" t="str">
        <f t="shared" si="8"/>
        <v/>
      </c>
      <c r="Z22" s="142" t="str">
        <f t="shared" si="9"/>
        <v/>
      </c>
      <c r="AA22" s="9" t="s">
        <v>654</v>
      </c>
      <c r="AB22" s="9" t="s">
        <v>43</v>
      </c>
      <c r="AC22" s="9" t="s">
        <v>43</v>
      </c>
      <c r="AD22" s="9" t="s">
        <v>43</v>
      </c>
      <c r="AE22" s="10" t="s">
        <v>43</v>
      </c>
      <c r="AF22" s="143" t="s">
        <v>43</v>
      </c>
      <c r="AH22" s="8"/>
      <c r="AI22" s="8"/>
      <c r="AJ22" s="8"/>
      <c r="AK22" s="8"/>
      <c r="AL22" s="8"/>
      <c r="AM22" s="8"/>
      <c r="AN22" s="8"/>
      <c r="AO22" s="8">
        <v>50</v>
      </c>
      <c r="AP22" s="8"/>
      <c r="AQ22" s="8"/>
      <c r="AR22" s="103"/>
      <c r="AS22" s="8" t="str">
        <f>IF(OR(표1_3[[#This Row],[등급]]="명서",(표1_3[[#This Row],[등급]]="고급")),IF(AH22="","",AH22*$AR22),"")</f>
        <v/>
      </c>
      <c r="AT22" s="8" t="str">
        <f>IF(OR(표1_3[[#This Row],[등급]]="명서",(표1_3[[#This Row],[등급]]="고급")),IF(AI22="","",AI22*$AR22),"")</f>
        <v/>
      </c>
      <c r="AU22" s="8" t="str">
        <f>IF(OR(표1_3[[#This Row],[등급]]="명서",(표1_3[[#This Row],[등급]]="고급")),IF(AJ22="","",AJ22*$AR22),"")</f>
        <v/>
      </c>
      <c r="AV22" s="8" t="str">
        <f>IF(OR(표1_3[[#This Row],[등급]]="명서",(표1_3[[#This Row],[등급]]="고급")),IF(AK22="","",AK22*$AR22),"")</f>
        <v/>
      </c>
      <c r="AW22" s="8" t="str">
        <f>IF(OR(표1_3[[#This Row],[등급]]="명서",(표1_3[[#This Row],[등급]]="고급")),IF(AL22="","",AL22*$AR22),"")</f>
        <v/>
      </c>
      <c r="AX22" s="8" t="str">
        <f>IF(OR(표1_3[[#This Row],[등급]]="명서",(표1_3[[#This Row],[등급]]="고급")),IF(AM22="","",AM22*$AR22),"")</f>
        <v/>
      </c>
      <c r="AY22" s="8" t="str">
        <f>IF(OR(표1_3[[#This Row],[등급]]="명서",(표1_3[[#This Row],[등급]]="고급")),IF(AN22="","",AN22*$AR22),"")</f>
        <v/>
      </c>
      <c r="AZ22" s="8" t="str">
        <f>IF(OR(표1_3[[#This Row],[등급]]="명서",(표1_3[[#This Row],[등급]]="고급")),IF(AO22="","",AO22*$AR22),"")</f>
        <v/>
      </c>
      <c r="BA22" s="8" t="str">
        <f>IF(OR(표1_3[[#This Row],[등급]]="명서",(표1_3[[#This Row],[등급]]="고급")),IF(AP22="","",AP22*$AR22),"")</f>
        <v/>
      </c>
      <c r="BB22" s="8" t="str">
        <f>IF(OR(표1_3[[#This Row],[등급]]="명서",(표1_3[[#This Row],[등급]]="고급")),IF(AQ22="","",AQ22*$AR22),"")</f>
        <v/>
      </c>
    </row>
    <row r="23" spans="1:54" x14ac:dyDescent="0.3">
      <c r="A23" s="5" t="s">
        <v>11</v>
      </c>
      <c r="B23" s="106" t="s">
        <v>41</v>
      </c>
      <c r="C23" s="203" t="s">
        <v>799</v>
      </c>
      <c r="D23" s="105" t="s">
        <v>45</v>
      </c>
      <c r="E23" s="7">
        <f t="array" ref="E23">INDEX(표1[내 책 등급], MATCH(1, (표1[사용자] ='성장 시뮬레이터'!$B$1) * (표1[책이름] = D23), 0))</f>
        <v>5</v>
      </c>
      <c r="F23" s="106" t="s">
        <v>21</v>
      </c>
      <c r="G23" s="147">
        <v>81</v>
      </c>
      <c r="H23" s="8" t="str">
        <f>IF(ISNUMBER(SEARCH("여", F23)), IF('성장 시뮬레이터'!$C$9=2, "O", "X"), "O")</f>
        <v>O</v>
      </c>
      <c r="I23" s="8" t="str">
        <f>IF(OR(ISNUMBER(SEARCH("위나라", F23)), ISNUMBER(SEARCH("촉나라", F23)), ISNUMBER(SEARCH("오나라", F23)), ISNUMBER(SEARCH("군웅", F23))), IF(ISNUMBER(SEARCH('성장 시뮬레이터'!$C$10, F23)), "O", "X"), "O")</f>
        <v>O</v>
      </c>
      <c r="J23" s="106" t="str">
        <f>IF(
    AND(
        H23="O",
        I23="O",
        IF(ISNUMBER(SEARCH("무력+지력", F23)), ('성장 시뮬레이터'!$G$5+'성장 시뮬레이터'!$G$6) &gt;= G23,
           IF(ISNUMBER(SEARCH("무력", F23)), '성장 시뮬레이터'!$G$5 &gt;= G23,
           IF(ISNUMBER(SEARCH("지력", F23)), '성장 시뮬레이터'!$G$6 &gt;= G23,
           IF(ISNUMBER(SEARCH("내력", F23)), '성장 시뮬레이터'!$G$7 &gt;= G23,
           IF(ISNUMBER(SEARCH("체력", F23)), '성장 시뮬레이터'!$G$8 &gt;= G23, FALSE)))))
    ), "O", "X")</f>
        <v>O</v>
      </c>
      <c r="K23" s="106" t="str">
        <f>IF(
    AND(
        H23="O",
        I23="O",
        IF(ISNUMBER(SEARCH("무력+지력", F23)), ('성장 시뮬레이터'!$I$5+'성장 시뮬레이터'!$I$6) &gt;= G23,
           IF(ISNUMBER(SEARCH("무력", F23)), '성장 시뮬레이터'!$I$5 &gt;= G23,
           IF(ISNUMBER(SEARCH("지력", F23)), '성장 시뮬레이터'!$I$6 &gt;= G23,
           IF(ISNUMBER(SEARCH("내력", F23)), '성장 시뮬레이터'!$I$7 &gt;= G23,
           IF(ISNUMBER(SEARCH("체력", F23)), '성장 시뮬레이터'!$I$8 &gt;= G23, FALSE)))))
    ), "O", "X")</f>
        <v>O</v>
      </c>
      <c r="L23" s="106" t="str">
        <f>IF(
    AND(
        H23="O",
        I23="O",
        IF(ISNUMBER(SEARCH("무력+지력", F23)), ('성장 시뮬레이터'!$K$5+'성장 시뮬레이터'!$K$6) &gt;= G23,
           IF(ISNUMBER(SEARCH("무력", F23)), '성장 시뮬레이터'!$K$5 &gt;= G23,
           IF(ISNUMBER(SEARCH("지력", F23)), '성장 시뮬레이터'!$K$6 &gt;= G23,
           IF(ISNUMBER(SEARCH("내력", F23)), '성장 시뮬레이터'!$K$7 &gt;= G23,
           IF(ISNUMBER(SEARCH("체력", F23)), '성장 시뮬레이터'!$K$8 &gt;= G23, FALSE)))))
    ), "O", "X")</f>
        <v>O</v>
      </c>
      <c r="M23" s="106" t="str">
        <f>IF(
    AND(
        H23="O",
        I23="O",
        IF(ISNUMBER(SEARCH("무력+지력", F23)), ('성장 시뮬레이터'!$M$5+'성장 시뮬레이터'!$M$6) &gt;= G23,
           IF(ISNUMBER(SEARCH("무력", F23)), '성장 시뮬레이터'!$M$5 &gt;= G23,
           IF(ISNUMBER(SEARCH("지력", F23)), '성장 시뮬레이터'!$M$6 &gt;= G23,
           IF(ISNUMBER(SEARCH("내력", F23)), '성장 시뮬레이터'!$M$7 &gt;= G23,
           IF(ISNUMBER(SEARCH("체력", F23)), '성장 시뮬레이터'!$M$8 &gt;= G23, FALSE)))))
    ), "O", "X")</f>
        <v>O</v>
      </c>
      <c r="N23" s="106" t="str">
        <f>IF(
    AND(
        H23="O",
        I23="O",
        IF(ISNUMBER(SEARCH("무력+지력", F23)), ('성장 시뮬레이터'!$O$5+'성장 시뮬레이터'!$O$6) &gt;= G23,
           IF(ISNUMBER(SEARCH("무력", F23)), '성장 시뮬레이터'!$O$5 &gt;= G23,
           IF(ISNUMBER(SEARCH("지력", F23)), '성장 시뮬레이터'!$O$6 &gt;= G23,
           IF(ISNUMBER(SEARCH("내력", F23)), '성장 시뮬레이터'!$O$7 &gt;= G23,
           IF(ISNUMBER(SEARCH("체력", F23)), '성장 시뮬레이터'!$O$8 &gt;= G23, FALSE)))))
    ), "O", "X")</f>
        <v>O</v>
      </c>
      <c r="O23" s="106" t="str">
        <f>IF(
    AND(
        H23="O",
        I23="O",
        IF(ISNUMBER(SEARCH("무력+지력", F23)), ('성장 시뮬레이터'!$Q$5+'성장 시뮬레이터'!$Q$6) &gt;= G23,
           IF(ISNUMBER(SEARCH("무력", F23)), '성장 시뮬레이터'!$Q$5 &gt;= G23,
           IF(ISNUMBER(SEARCH("지력", F23)), '성장 시뮬레이터'!$Q$6 &gt;= G23,
           IF(ISNUMBER(SEARCH("내력", F23)), '성장 시뮬레이터'!$Q$7 &gt;= G23,
           IF(ISNUMBER(SEARCH("체력", F23)), '성장 시뮬레이터'!$Q$8 &gt;= G23, FALSE)))))
    ), "O", "X")</f>
        <v>O</v>
      </c>
      <c r="P23" s="106" t="s">
        <v>904</v>
      </c>
      <c r="Q23" s="142" t="str">
        <f t="shared" si="0"/>
        <v/>
      </c>
      <c r="R23" s="142" t="str">
        <f t="shared" si="1"/>
        <v/>
      </c>
      <c r="S23" s="142" t="str">
        <f t="shared" si="2"/>
        <v/>
      </c>
      <c r="T23" s="142" t="str">
        <f t="shared" si="3"/>
        <v/>
      </c>
      <c r="U23" s="142" t="str">
        <f t="shared" si="4"/>
        <v/>
      </c>
      <c r="V23" s="142" t="str">
        <f t="shared" si="5"/>
        <v/>
      </c>
      <c r="W23" s="142" t="str">
        <f t="shared" si="6"/>
        <v/>
      </c>
      <c r="X23" s="142">
        <f t="shared" si="7"/>
        <v>50</v>
      </c>
      <c r="Y23" s="142" t="str">
        <f t="shared" si="8"/>
        <v/>
      </c>
      <c r="Z23" s="142" t="str">
        <f t="shared" si="9"/>
        <v/>
      </c>
      <c r="AA23" s="9" t="s">
        <v>654</v>
      </c>
      <c r="AB23" s="9" t="s">
        <v>43</v>
      </c>
      <c r="AC23" s="9" t="s">
        <v>43</v>
      </c>
      <c r="AD23" s="9" t="s">
        <v>43</v>
      </c>
      <c r="AE23" s="10" t="s">
        <v>43</v>
      </c>
      <c r="AF23" s="143" t="s">
        <v>43</v>
      </c>
      <c r="AH23" s="8"/>
      <c r="AI23" s="8"/>
      <c r="AJ23" s="8"/>
      <c r="AK23" s="8"/>
      <c r="AL23" s="8"/>
      <c r="AM23" s="8"/>
      <c r="AN23" s="8"/>
      <c r="AO23" s="8">
        <v>50</v>
      </c>
      <c r="AP23" s="8"/>
      <c r="AQ23" s="8"/>
      <c r="AR23" s="103"/>
      <c r="AS23" s="8" t="str">
        <f>IF(OR(표1_3[[#This Row],[등급]]="명서",(표1_3[[#This Row],[등급]]="고급")),IF(AH23="","",AH23*$AR23),"")</f>
        <v/>
      </c>
      <c r="AT23" s="8" t="str">
        <f>IF(OR(표1_3[[#This Row],[등급]]="명서",(표1_3[[#This Row],[등급]]="고급")),IF(AI23="","",AI23*$AR23),"")</f>
        <v/>
      </c>
      <c r="AU23" s="8" t="str">
        <f>IF(OR(표1_3[[#This Row],[등급]]="명서",(표1_3[[#This Row],[등급]]="고급")),IF(AJ23="","",AJ23*$AR23),"")</f>
        <v/>
      </c>
      <c r="AV23" s="8" t="str">
        <f>IF(OR(표1_3[[#This Row],[등급]]="명서",(표1_3[[#This Row],[등급]]="고급")),IF(AK23="","",AK23*$AR23),"")</f>
        <v/>
      </c>
      <c r="AW23" s="8" t="str">
        <f>IF(OR(표1_3[[#This Row],[등급]]="명서",(표1_3[[#This Row],[등급]]="고급")),IF(AL23="","",AL23*$AR23),"")</f>
        <v/>
      </c>
      <c r="AX23" s="8" t="str">
        <f>IF(OR(표1_3[[#This Row],[등급]]="명서",(표1_3[[#This Row],[등급]]="고급")),IF(AM23="","",AM23*$AR23),"")</f>
        <v/>
      </c>
      <c r="AY23" s="8" t="str">
        <f>IF(OR(표1_3[[#This Row],[등급]]="명서",(표1_3[[#This Row],[등급]]="고급")),IF(AN23="","",AN23*$AR23),"")</f>
        <v/>
      </c>
      <c r="AZ23" s="8" t="str">
        <f>IF(OR(표1_3[[#This Row],[등급]]="명서",(표1_3[[#This Row],[등급]]="고급")),IF(AO23="","",AO23*$AR23),"")</f>
        <v/>
      </c>
      <c r="BA23" s="8" t="str">
        <f>IF(OR(표1_3[[#This Row],[등급]]="명서",(표1_3[[#This Row],[등급]]="고급")),IF(AP23="","",AP23*$AR23),"")</f>
        <v/>
      </c>
      <c r="BB23" s="8" t="str">
        <f>IF(OR(표1_3[[#This Row],[등급]]="명서",(표1_3[[#This Row],[등급]]="고급")),IF(AQ23="","",AQ23*$AR23),"")</f>
        <v/>
      </c>
    </row>
    <row r="24" spans="1:54" x14ac:dyDescent="0.3">
      <c r="A24" s="5" t="s">
        <v>11</v>
      </c>
      <c r="B24" s="106" t="s">
        <v>46</v>
      </c>
      <c r="C24" s="203" t="s">
        <v>799</v>
      </c>
      <c r="D24" s="105" t="s">
        <v>47</v>
      </c>
      <c r="E24" s="7">
        <f t="array" ref="E24">INDEX(표1[내 책 등급], MATCH(1, (표1[사용자] ='성장 시뮬레이터'!$B$1) * (표1[책이름] = D24), 0))</f>
        <v>4</v>
      </c>
      <c r="F24" s="106" t="s">
        <v>21</v>
      </c>
      <c r="G24" s="147">
        <v>81</v>
      </c>
      <c r="H24" s="8" t="str">
        <f>IF(ISNUMBER(SEARCH("여", F24)), IF('성장 시뮬레이터'!$C$9=2, "O", "X"), "O")</f>
        <v>O</v>
      </c>
      <c r="I24" s="8" t="str">
        <f>IF(OR(ISNUMBER(SEARCH("위나라", F24)), ISNUMBER(SEARCH("촉나라", F24)), ISNUMBER(SEARCH("오나라", F24)), ISNUMBER(SEARCH("군웅", F24))), IF(ISNUMBER(SEARCH('성장 시뮬레이터'!$C$10, F24)), "O", "X"), "O")</f>
        <v>O</v>
      </c>
      <c r="J24" s="106" t="str">
        <f>IF(
    AND(
        H24="O",
        I24="O",
        IF(ISNUMBER(SEARCH("무력+지력", F24)), ('성장 시뮬레이터'!$G$5+'성장 시뮬레이터'!$G$6) &gt;= G24,
           IF(ISNUMBER(SEARCH("무력", F24)), '성장 시뮬레이터'!$G$5 &gt;= G24,
           IF(ISNUMBER(SEARCH("지력", F24)), '성장 시뮬레이터'!$G$6 &gt;= G24,
           IF(ISNUMBER(SEARCH("내력", F24)), '성장 시뮬레이터'!$G$7 &gt;= G24,
           IF(ISNUMBER(SEARCH("체력", F24)), '성장 시뮬레이터'!$G$8 &gt;= G24, FALSE)))))
    ), "O", "X")</f>
        <v>O</v>
      </c>
      <c r="K24" s="106" t="str">
        <f>IF(
    AND(
        H24="O",
        I24="O",
        IF(ISNUMBER(SEARCH("무력+지력", F24)), ('성장 시뮬레이터'!$I$5+'성장 시뮬레이터'!$I$6) &gt;= G24,
           IF(ISNUMBER(SEARCH("무력", F24)), '성장 시뮬레이터'!$I$5 &gt;= G24,
           IF(ISNUMBER(SEARCH("지력", F24)), '성장 시뮬레이터'!$I$6 &gt;= G24,
           IF(ISNUMBER(SEARCH("내력", F24)), '성장 시뮬레이터'!$I$7 &gt;= G24,
           IF(ISNUMBER(SEARCH("체력", F24)), '성장 시뮬레이터'!$I$8 &gt;= G24, FALSE)))))
    ), "O", "X")</f>
        <v>O</v>
      </c>
      <c r="L24" s="106" t="str">
        <f>IF(
    AND(
        H24="O",
        I24="O",
        IF(ISNUMBER(SEARCH("무력+지력", F24)), ('성장 시뮬레이터'!$K$5+'성장 시뮬레이터'!$K$6) &gt;= G24,
           IF(ISNUMBER(SEARCH("무력", F24)), '성장 시뮬레이터'!$K$5 &gt;= G24,
           IF(ISNUMBER(SEARCH("지력", F24)), '성장 시뮬레이터'!$K$6 &gt;= G24,
           IF(ISNUMBER(SEARCH("내력", F24)), '성장 시뮬레이터'!$K$7 &gt;= G24,
           IF(ISNUMBER(SEARCH("체력", F24)), '성장 시뮬레이터'!$K$8 &gt;= G24, FALSE)))))
    ), "O", "X")</f>
        <v>O</v>
      </c>
      <c r="M24" s="106" t="str">
        <f>IF(
    AND(
        H24="O",
        I24="O",
        IF(ISNUMBER(SEARCH("무력+지력", F24)), ('성장 시뮬레이터'!$M$5+'성장 시뮬레이터'!$M$6) &gt;= G24,
           IF(ISNUMBER(SEARCH("무력", F24)), '성장 시뮬레이터'!$M$5 &gt;= G24,
           IF(ISNUMBER(SEARCH("지력", F24)), '성장 시뮬레이터'!$M$6 &gt;= G24,
           IF(ISNUMBER(SEARCH("내력", F24)), '성장 시뮬레이터'!$M$7 &gt;= G24,
           IF(ISNUMBER(SEARCH("체력", F24)), '성장 시뮬레이터'!$M$8 &gt;= G24, FALSE)))))
    ), "O", "X")</f>
        <v>O</v>
      </c>
      <c r="N24" s="106" t="str">
        <f>IF(
    AND(
        H24="O",
        I24="O",
        IF(ISNUMBER(SEARCH("무력+지력", F24)), ('성장 시뮬레이터'!$O$5+'성장 시뮬레이터'!$O$6) &gt;= G24,
           IF(ISNUMBER(SEARCH("무력", F24)), '성장 시뮬레이터'!$O$5 &gt;= G24,
           IF(ISNUMBER(SEARCH("지력", F24)), '성장 시뮬레이터'!$O$6 &gt;= G24,
           IF(ISNUMBER(SEARCH("내력", F24)), '성장 시뮬레이터'!$O$7 &gt;= G24,
           IF(ISNUMBER(SEARCH("체력", F24)), '성장 시뮬레이터'!$O$8 &gt;= G24, FALSE)))))
    ), "O", "X")</f>
        <v>O</v>
      </c>
      <c r="O24" s="106" t="str">
        <f>IF(
    AND(
        H24="O",
        I24="O",
        IF(ISNUMBER(SEARCH("무력+지력", F24)), ('성장 시뮬레이터'!$Q$5+'성장 시뮬레이터'!$Q$6) &gt;= G24,
           IF(ISNUMBER(SEARCH("무력", F24)), '성장 시뮬레이터'!$Q$5 &gt;= G24,
           IF(ISNUMBER(SEARCH("지력", F24)), '성장 시뮬레이터'!$Q$6 &gt;= G24,
           IF(ISNUMBER(SEARCH("내력", F24)), '성장 시뮬레이터'!$Q$7 &gt;= G24,
           IF(ISNUMBER(SEARCH("체력", F24)), '성장 시뮬레이터'!$Q$8 &gt;= G24, FALSE)))))
    ), "O", "X")</f>
        <v>O</v>
      </c>
      <c r="P24" s="106" t="s">
        <v>904</v>
      </c>
      <c r="Q24" s="142" t="str">
        <f t="shared" si="0"/>
        <v/>
      </c>
      <c r="R24" s="142" t="str">
        <f t="shared" si="1"/>
        <v/>
      </c>
      <c r="S24" s="142" t="str">
        <f t="shared" si="2"/>
        <v/>
      </c>
      <c r="T24" s="142" t="str">
        <f t="shared" si="3"/>
        <v/>
      </c>
      <c r="U24" s="142">
        <f t="shared" si="4"/>
        <v>30</v>
      </c>
      <c r="V24" s="142" t="str">
        <f t="shared" si="5"/>
        <v/>
      </c>
      <c r="W24" s="142" t="str">
        <f t="shared" si="6"/>
        <v/>
      </c>
      <c r="X24" s="142" t="str">
        <f t="shared" si="7"/>
        <v/>
      </c>
      <c r="Y24" s="142" t="str">
        <f t="shared" si="8"/>
        <v/>
      </c>
      <c r="Z24" s="142" t="str">
        <f t="shared" si="9"/>
        <v/>
      </c>
      <c r="AA24" s="11" t="s">
        <v>655</v>
      </c>
      <c r="AB24" s="9" t="s">
        <v>43</v>
      </c>
      <c r="AC24" s="9" t="s">
        <v>43</v>
      </c>
      <c r="AD24" s="9" t="s">
        <v>43</v>
      </c>
      <c r="AE24" s="10" t="s">
        <v>43</v>
      </c>
      <c r="AF24" s="143" t="s">
        <v>43</v>
      </c>
      <c r="AH24" s="8"/>
      <c r="AI24" s="8"/>
      <c r="AJ24" s="8"/>
      <c r="AK24" s="8"/>
      <c r="AL24" s="8">
        <v>30</v>
      </c>
      <c r="AM24" s="8"/>
      <c r="AN24" s="8"/>
      <c r="AO24" s="8"/>
      <c r="AP24" s="8"/>
      <c r="AQ24" s="8"/>
      <c r="AR24" s="103"/>
      <c r="AS24" s="8" t="str">
        <f>IF(OR(표1_3[[#This Row],[등급]]="명서",(표1_3[[#This Row],[등급]]="고급")),IF(AH24="","",AH24*$AR24),"")</f>
        <v/>
      </c>
      <c r="AT24" s="8" t="str">
        <f>IF(OR(표1_3[[#This Row],[등급]]="명서",(표1_3[[#This Row],[등급]]="고급")),IF(AI24="","",AI24*$AR24),"")</f>
        <v/>
      </c>
      <c r="AU24" s="8" t="str">
        <f>IF(OR(표1_3[[#This Row],[등급]]="명서",(표1_3[[#This Row],[등급]]="고급")),IF(AJ24="","",AJ24*$AR24),"")</f>
        <v/>
      </c>
      <c r="AV24" s="8" t="str">
        <f>IF(OR(표1_3[[#This Row],[등급]]="명서",(표1_3[[#This Row],[등급]]="고급")),IF(AK24="","",AK24*$AR24),"")</f>
        <v/>
      </c>
      <c r="AW24" s="8" t="str">
        <f>IF(OR(표1_3[[#This Row],[등급]]="명서",(표1_3[[#This Row],[등급]]="고급")),IF(AL24="","",AL24*$AR24),"")</f>
        <v/>
      </c>
      <c r="AX24" s="8" t="str">
        <f>IF(OR(표1_3[[#This Row],[등급]]="명서",(표1_3[[#This Row],[등급]]="고급")),IF(AM24="","",AM24*$AR24),"")</f>
        <v/>
      </c>
      <c r="AY24" s="8" t="str">
        <f>IF(OR(표1_3[[#This Row],[등급]]="명서",(표1_3[[#This Row],[등급]]="고급")),IF(AN24="","",AN24*$AR24),"")</f>
        <v/>
      </c>
      <c r="AZ24" s="8" t="str">
        <f>IF(OR(표1_3[[#This Row],[등급]]="명서",(표1_3[[#This Row],[등급]]="고급")),IF(AO24="","",AO24*$AR24),"")</f>
        <v/>
      </c>
      <c r="BA24" s="8" t="str">
        <f>IF(OR(표1_3[[#This Row],[등급]]="명서",(표1_3[[#This Row],[등급]]="고급")),IF(AP24="","",AP24*$AR24),"")</f>
        <v/>
      </c>
      <c r="BB24" s="8" t="str">
        <f>IF(OR(표1_3[[#This Row],[등급]]="명서",(표1_3[[#This Row],[등급]]="고급")),IF(AQ24="","",AQ24*$AR24),"")</f>
        <v/>
      </c>
    </row>
    <row r="25" spans="1:54" x14ac:dyDescent="0.3">
      <c r="A25" s="5" t="s">
        <v>48</v>
      </c>
      <c r="B25" s="106" t="s">
        <v>12</v>
      </c>
      <c r="C25" s="203" t="s">
        <v>799</v>
      </c>
      <c r="D25" s="105" t="s">
        <v>49</v>
      </c>
      <c r="E25" s="7">
        <f t="array" ref="E25">INDEX(표1[내 책 등급], MATCH(1, (표1[사용자] ='성장 시뮬레이터'!$B$1) * (표1[책이름] = D25), 0))</f>
        <v>10</v>
      </c>
      <c r="F25" s="106" t="s">
        <v>18</v>
      </c>
      <c r="G25" s="147">
        <v>180</v>
      </c>
      <c r="H25" s="8" t="str">
        <f>IF(ISNUMBER(SEARCH("여", F25)), IF('성장 시뮬레이터'!$C$9=2, "O", "X"), "O")</f>
        <v>O</v>
      </c>
      <c r="I25" s="8" t="str">
        <f>IF(OR(ISNUMBER(SEARCH("위나라", F25)), ISNUMBER(SEARCH("촉나라", F25)), ISNUMBER(SEARCH("오나라", F25)), ISNUMBER(SEARCH("군웅", F25))), IF(ISNUMBER(SEARCH('성장 시뮬레이터'!$C$10, F25)), "O", "X"), "O")</f>
        <v>O</v>
      </c>
      <c r="J25" s="106" t="str">
        <f>IF(
    AND(
        H25="O",
        I25="O",
        IF(ISNUMBER(SEARCH("무력+지력", F25)), ('성장 시뮬레이터'!$G$5+'성장 시뮬레이터'!$G$6) &gt;= G25,
           IF(ISNUMBER(SEARCH("무력", F25)), '성장 시뮬레이터'!$G$5 &gt;= G25,
           IF(ISNUMBER(SEARCH("지력", F25)), '성장 시뮬레이터'!$G$6 &gt;= G25,
           IF(ISNUMBER(SEARCH("내력", F25)), '성장 시뮬레이터'!$G$7 &gt;= G25,
           IF(ISNUMBER(SEARCH("체력", F25)), '성장 시뮬레이터'!$G$8 &gt;= G25, FALSE)))))
    ), "O", "X")</f>
        <v>O</v>
      </c>
      <c r="K25" s="106" t="str">
        <f>IF(
    AND(
        H25="O",
        I25="O",
        IF(ISNUMBER(SEARCH("무력+지력", F25)), ('성장 시뮬레이터'!$I$5+'성장 시뮬레이터'!$I$6) &gt;= G25,
           IF(ISNUMBER(SEARCH("무력", F25)), '성장 시뮬레이터'!$I$5 &gt;= G25,
           IF(ISNUMBER(SEARCH("지력", F25)), '성장 시뮬레이터'!$I$6 &gt;= G25,
           IF(ISNUMBER(SEARCH("내력", F25)), '성장 시뮬레이터'!$I$7 &gt;= G25,
           IF(ISNUMBER(SEARCH("체력", F25)), '성장 시뮬레이터'!$I$8 &gt;= G25, FALSE)))))
    ), "O", "X")</f>
        <v>O</v>
      </c>
      <c r="L25" s="106" t="str">
        <f>IF(
    AND(
        H25="O",
        I25="O",
        IF(ISNUMBER(SEARCH("무력+지력", F25)), ('성장 시뮬레이터'!$K$5+'성장 시뮬레이터'!$K$6) &gt;= G25,
           IF(ISNUMBER(SEARCH("무력", F25)), '성장 시뮬레이터'!$K$5 &gt;= G25,
           IF(ISNUMBER(SEARCH("지력", F25)), '성장 시뮬레이터'!$K$6 &gt;= G25,
           IF(ISNUMBER(SEARCH("내력", F25)), '성장 시뮬레이터'!$K$7 &gt;= G25,
           IF(ISNUMBER(SEARCH("체력", F25)), '성장 시뮬레이터'!$K$8 &gt;= G25, FALSE)))))
    ), "O", "X")</f>
        <v>O</v>
      </c>
      <c r="M25" s="106" t="str">
        <f>IF(
    AND(
        H25="O",
        I25="O",
        IF(ISNUMBER(SEARCH("무력+지력", F25)), ('성장 시뮬레이터'!$M$5+'성장 시뮬레이터'!$M$6) &gt;= G25,
           IF(ISNUMBER(SEARCH("무력", F25)), '성장 시뮬레이터'!$M$5 &gt;= G25,
           IF(ISNUMBER(SEARCH("지력", F25)), '성장 시뮬레이터'!$M$6 &gt;= G25,
           IF(ISNUMBER(SEARCH("내력", F25)), '성장 시뮬레이터'!$M$7 &gt;= G25,
           IF(ISNUMBER(SEARCH("체력", F25)), '성장 시뮬레이터'!$M$8 &gt;= G25, FALSE)))))
    ), "O", "X")</f>
        <v>O</v>
      </c>
      <c r="N25" s="106" t="str">
        <f>IF(
    AND(
        H25="O",
        I25="O",
        IF(ISNUMBER(SEARCH("무력+지력", F25)), ('성장 시뮬레이터'!$O$5+'성장 시뮬레이터'!$O$6) &gt;= G25,
           IF(ISNUMBER(SEARCH("무력", F25)), '성장 시뮬레이터'!$O$5 &gt;= G25,
           IF(ISNUMBER(SEARCH("지력", F25)), '성장 시뮬레이터'!$O$6 &gt;= G25,
           IF(ISNUMBER(SEARCH("내력", F25)), '성장 시뮬레이터'!$O$7 &gt;= G25,
           IF(ISNUMBER(SEARCH("체력", F25)), '성장 시뮬레이터'!$O$8 &gt;= G25, FALSE)))))
    ), "O", "X")</f>
        <v>O</v>
      </c>
      <c r="O25" s="106" t="str">
        <f>IF(
    AND(
        H25="O",
        I25="O",
        IF(ISNUMBER(SEARCH("무력+지력", F25)), ('성장 시뮬레이터'!$Q$5+'성장 시뮬레이터'!$Q$6) &gt;= G25,
           IF(ISNUMBER(SEARCH("무력", F25)), '성장 시뮬레이터'!$Q$5 &gt;= G25,
           IF(ISNUMBER(SEARCH("지력", F25)), '성장 시뮬레이터'!$Q$6 &gt;= G25,
           IF(ISNUMBER(SEARCH("내력", F25)), '성장 시뮬레이터'!$Q$7 &gt;= G25,
           IF(ISNUMBER(SEARCH("체력", F25)), '성장 시뮬레이터'!$Q$8 &gt;= G25, FALSE)))))
    ), "O", "X")</f>
        <v>O</v>
      </c>
      <c r="P25" s="106" t="s">
        <v>904</v>
      </c>
      <c r="Q25" s="142">
        <f t="shared" si="0"/>
        <v>130</v>
      </c>
      <c r="R25" s="142">
        <f t="shared" si="1"/>
        <v>130</v>
      </c>
      <c r="S25" s="142">
        <f t="shared" si="2"/>
        <v>260</v>
      </c>
      <c r="T25" s="142" t="str">
        <f t="shared" si="3"/>
        <v/>
      </c>
      <c r="U25" s="142" t="str">
        <f t="shared" si="4"/>
        <v/>
      </c>
      <c r="V25" s="142" t="str">
        <f t="shared" si="5"/>
        <v/>
      </c>
      <c r="W25" s="142" t="str">
        <f t="shared" si="6"/>
        <v/>
      </c>
      <c r="X25" s="142" t="str">
        <f t="shared" si="7"/>
        <v/>
      </c>
      <c r="Y25" s="142" t="str">
        <f t="shared" si="8"/>
        <v/>
      </c>
      <c r="Z25" s="142" t="str">
        <f t="shared" si="9"/>
        <v/>
      </c>
      <c r="AA25" s="11" t="s">
        <v>50</v>
      </c>
      <c r="AB25" s="11"/>
      <c r="AC25" s="11"/>
      <c r="AD25" s="11"/>
      <c r="AE25" s="12"/>
      <c r="AF25" s="144" t="s">
        <v>51</v>
      </c>
      <c r="AH25" s="8">
        <v>20</v>
      </c>
      <c r="AI25" s="8">
        <v>20</v>
      </c>
      <c r="AJ25" s="8">
        <v>40</v>
      </c>
      <c r="AK25" s="8"/>
      <c r="AL25" s="8"/>
      <c r="AM25" s="8"/>
      <c r="AN25" s="8"/>
      <c r="AO25" s="8"/>
      <c r="AP25" s="8"/>
      <c r="AQ25" s="8"/>
      <c r="AR25" s="103">
        <v>1.5</v>
      </c>
      <c r="AS25" s="8">
        <f>IF(OR(표1_3[[#This Row],[등급]]="명서",(표1_3[[#This Row],[등급]]="고급")),IF(AH25="","",AH25*$AR25),"")</f>
        <v>30</v>
      </c>
      <c r="AT25" s="8">
        <f>IF(OR(표1_3[[#This Row],[등급]]="명서",(표1_3[[#This Row],[등급]]="고급")),IF(AI25="","",AI25*$AR25),"")</f>
        <v>30</v>
      </c>
      <c r="AU25" s="8">
        <f>IF(OR(표1_3[[#This Row],[등급]]="명서",(표1_3[[#This Row],[등급]]="고급")),IF(AJ25="","",AJ25*$AR25),"")</f>
        <v>60</v>
      </c>
      <c r="AV25" s="8" t="str">
        <f>IF(OR(표1_3[[#This Row],[등급]]="명서",(표1_3[[#This Row],[등급]]="고급")),IF(AK25="","",AK25*$AR25),"")</f>
        <v/>
      </c>
      <c r="AW25" s="8" t="str">
        <f>IF(OR(표1_3[[#This Row],[등급]]="명서",(표1_3[[#This Row],[등급]]="고급")),IF(AL25="","",AL25*$AR25),"")</f>
        <v/>
      </c>
      <c r="AX25" s="8" t="str">
        <f>IF(OR(표1_3[[#This Row],[등급]]="명서",(표1_3[[#This Row],[등급]]="고급")),IF(AM25="","",AM25*$AR25),"")</f>
        <v/>
      </c>
      <c r="AY25" s="8" t="str">
        <f>IF(OR(표1_3[[#This Row],[등급]]="명서",(표1_3[[#This Row],[등급]]="고급")),IF(AN25="","",AN25*$AR25),"")</f>
        <v/>
      </c>
      <c r="AZ25" s="8" t="str">
        <f>IF(OR(표1_3[[#This Row],[등급]]="명서",(표1_3[[#This Row],[등급]]="고급")),IF(AO25="","",AO25*$AR25),"")</f>
        <v/>
      </c>
      <c r="BA25" s="8" t="str">
        <f>IF(OR(표1_3[[#This Row],[등급]]="명서",(표1_3[[#This Row],[등급]]="고급")),IF(AP25="","",AP25*$AR25),"")</f>
        <v/>
      </c>
      <c r="BB25" s="8" t="str">
        <f>IF(OR(표1_3[[#This Row],[등급]]="명서",(표1_3[[#This Row],[등급]]="고급")),IF(AQ25="","",AQ25*$AR25),"")</f>
        <v/>
      </c>
    </row>
    <row r="26" spans="1:54" x14ac:dyDescent="0.3">
      <c r="A26" s="5" t="s">
        <v>48</v>
      </c>
      <c r="B26" s="6" t="s">
        <v>12</v>
      </c>
      <c r="C26" s="203" t="s">
        <v>799</v>
      </c>
      <c r="D26" s="7" t="s">
        <v>52</v>
      </c>
      <c r="E26" s="7">
        <f t="array" ref="E26">INDEX(표1[내 책 등급], MATCH(1, (표1[사용자] ='성장 시뮬레이터'!$B$1) * (표1[책이름] = D26), 0))</f>
        <v>10</v>
      </c>
      <c r="F26" s="6" t="s">
        <v>21</v>
      </c>
      <c r="G26" s="142">
        <v>104</v>
      </c>
      <c r="H26" s="8" t="str">
        <f>IF(ISNUMBER(SEARCH("여", F26)), IF('성장 시뮬레이터'!$C$9=2, "O", "X"), "O")</f>
        <v>O</v>
      </c>
      <c r="I26" s="8" t="str">
        <f>IF(OR(ISNUMBER(SEARCH("위나라", F26)), ISNUMBER(SEARCH("촉나라", F26)), ISNUMBER(SEARCH("오나라", F26)), ISNUMBER(SEARCH("군웅", F26))), IF(ISNUMBER(SEARCH('성장 시뮬레이터'!$C$10, F26)), "O", "X"), "O")</f>
        <v>O</v>
      </c>
      <c r="J26" s="8" t="str">
        <f>IF(
    AND(
        H26="O",
        I26="O",
        IF(ISNUMBER(SEARCH("무력+지력", F26)), ('성장 시뮬레이터'!$G$5+'성장 시뮬레이터'!$G$6) &gt;= G26,
           IF(ISNUMBER(SEARCH("무력", F26)), '성장 시뮬레이터'!$G$5 &gt;= G26,
           IF(ISNUMBER(SEARCH("지력", F26)), '성장 시뮬레이터'!$G$6 &gt;= G26,
           IF(ISNUMBER(SEARCH("내력", F26)), '성장 시뮬레이터'!$G$7 &gt;= G26,
           IF(ISNUMBER(SEARCH("체력", F26)), '성장 시뮬레이터'!$G$8 &gt;= G26, FALSE)))))
    ), "O", "X")</f>
        <v>X</v>
      </c>
      <c r="K26" s="106" t="str">
        <f>IF(
    AND(
        H26="O",
        I26="O",
        IF(ISNUMBER(SEARCH("무력+지력", F26)), ('성장 시뮬레이터'!$I$5+'성장 시뮬레이터'!$I$6) &gt;= G26,
           IF(ISNUMBER(SEARCH("무력", F26)), '성장 시뮬레이터'!$I$5 &gt;= G26,
           IF(ISNUMBER(SEARCH("지력", F26)), '성장 시뮬레이터'!$I$6 &gt;= G26,
           IF(ISNUMBER(SEARCH("내력", F26)), '성장 시뮬레이터'!$I$7 &gt;= G26,
           IF(ISNUMBER(SEARCH("체력", F26)), '성장 시뮬레이터'!$I$8 &gt;= G26, FALSE)))))
    ), "O", "X")</f>
        <v>X</v>
      </c>
      <c r="L26" s="106" t="str">
        <f>IF(
    AND(
        H26="O",
        I26="O",
        IF(ISNUMBER(SEARCH("무력+지력", F26)), ('성장 시뮬레이터'!$K$5+'성장 시뮬레이터'!$K$6) &gt;= G26,
           IF(ISNUMBER(SEARCH("무력", F26)), '성장 시뮬레이터'!$K$5 &gt;= G26,
           IF(ISNUMBER(SEARCH("지력", F26)), '성장 시뮬레이터'!$K$6 &gt;= G26,
           IF(ISNUMBER(SEARCH("내력", F26)), '성장 시뮬레이터'!$K$7 &gt;= G26,
           IF(ISNUMBER(SEARCH("체력", F26)), '성장 시뮬레이터'!$K$8 &gt;= G26, FALSE)))))
    ), "O", "X")</f>
        <v>X</v>
      </c>
      <c r="M26" s="106" t="str">
        <f>IF(
    AND(
        H26="O",
        I26="O",
        IF(ISNUMBER(SEARCH("무력+지력", F26)), ('성장 시뮬레이터'!$M$5+'성장 시뮬레이터'!$M$6) &gt;= G26,
           IF(ISNUMBER(SEARCH("무력", F26)), '성장 시뮬레이터'!$M$5 &gt;= G26,
           IF(ISNUMBER(SEARCH("지력", F26)), '성장 시뮬레이터'!$M$6 &gt;= G26,
           IF(ISNUMBER(SEARCH("내력", F26)), '성장 시뮬레이터'!$M$7 &gt;= G26,
           IF(ISNUMBER(SEARCH("체력", F26)), '성장 시뮬레이터'!$M$8 &gt;= G26, FALSE)))))
    ), "O", "X")</f>
        <v>X</v>
      </c>
      <c r="N26" s="106" t="str">
        <f>IF(
    AND(
        H26="O",
        I26="O",
        IF(ISNUMBER(SEARCH("무력+지력", F26)), ('성장 시뮬레이터'!$O$5+'성장 시뮬레이터'!$O$6) &gt;= G26,
           IF(ISNUMBER(SEARCH("무력", F26)), '성장 시뮬레이터'!$O$5 &gt;= G26,
           IF(ISNUMBER(SEARCH("지력", F26)), '성장 시뮬레이터'!$O$6 &gt;= G26,
           IF(ISNUMBER(SEARCH("내력", F26)), '성장 시뮬레이터'!$O$7 &gt;= G26,
           IF(ISNUMBER(SEARCH("체력", F26)), '성장 시뮬레이터'!$O$8 &gt;= G26, FALSE)))))
    ), "O", "X")</f>
        <v>X</v>
      </c>
      <c r="O26" s="106" t="str">
        <f>IF(
    AND(
        H26="O",
        I26="O",
        IF(ISNUMBER(SEARCH("무력+지력", F26)), ('성장 시뮬레이터'!$Q$5+'성장 시뮬레이터'!$Q$6) &gt;= G26,
           IF(ISNUMBER(SEARCH("무력", F26)), '성장 시뮬레이터'!$Q$5 &gt;= G26,
           IF(ISNUMBER(SEARCH("지력", F26)), '성장 시뮬레이터'!$Q$6 &gt;= G26,
           IF(ISNUMBER(SEARCH("내력", F26)), '성장 시뮬레이터'!$Q$7 &gt;= G26,
           IF(ISNUMBER(SEARCH("체력", F26)), '성장 시뮬레이터'!$Q$8 &gt;= G26, FALSE)))))
    ), "O", "X")</f>
        <v>X</v>
      </c>
      <c r="P26" s="106" t="s">
        <v>905</v>
      </c>
      <c r="Q26" s="142">
        <f t="shared" si="0"/>
        <v>260</v>
      </c>
      <c r="R26" s="142">
        <f t="shared" si="1"/>
        <v>195</v>
      </c>
      <c r="S26" s="142" t="str">
        <f t="shared" si="2"/>
        <v/>
      </c>
      <c r="T26" s="142" t="str">
        <f t="shared" si="3"/>
        <v/>
      </c>
      <c r="U26" s="142" t="str">
        <f t="shared" si="4"/>
        <v/>
      </c>
      <c r="V26" s="142" t="str">
        <f t="shared" si="5"/>
        <v/>
      </c>
      <c r="W26" s="142" t="str">
        <f t="shared" si="6"/>
        <v/>
      </c>
      <c r="X26" s="142" t="str">
        <f t="shared" si="7"/>
        <v/>
      </c>
      <c r="Y26" s="142" t="str">
        <f t="shared" si="8"/>
        <v/>
      </c>
      <c r="Z26" s="142" t="str">
        <f t="shared" si="9"/>
        <v/>
      </c>
      <c r="AA26" s="11" t="s">
        <v>53</v>
      </c>
      <c r="AB26" s="11"/>
      <c r="AC26" s="11"/>
      <c r="AD26" s="11"/>
      <c r="AE26" s="12"/>
      <c r="AF26" s="144" t="s">
        <v>54</v>
      </c>
      <c r="AH26" s="8">
        <v>40</v>
      </c>
      <c r="AI26" s="8">
        <v>30</v>
      </c>
      <c r="AJ26" s="8"/>
      <c r="AK26" s="8"/>
      <c r="AL26" s="8"/>
      <c r="AM26" s="8"/>
      <c r="AN26" s="8"/>
      <c r="AO26" s="8"/>
      <c r="AP26" s="8"/>
      <c r="AQ26" s="8"/>
      <c r="AR26" s="103">
        <v>1.5</v>
      </c>
      <c r="AS26" s="8">
        <f>IF(OR(표1_3[[#This Row],[등급]]="명서",(표1_3[[#This Row],[등급]]="고급")),IF(AH26="","",AH26*$AR26),"")</f>
        <v>60</v>
      </c>
      <c r="AT26" s="8">
        <f>IF(OR(표1_3[[#This Row],[등급]]="명서",(표1_3[[#This Row],[등급]]="고급")),IF(AI26="","",AI26*$AR26),"")</f>
        <v>45</v>
      </c>
      <c r="AU26" s="8" t="str">
        <f>IF(OR(표1_3[[#This Row],[등급]]="명서",(표1_3[[#This Row],[등급]]="고급")),IF(AJ26="","",AJ26*$AR26),"")</f>
        <v/>
      </c>
      <c r="AV26" s="8" t="str">
        <f>IF(OR(표1_3[[#This Row],[등급]]="명서",(표1_3[[#This Row],[등급]]="고급")),IF(AK26="","",AK26*$AR26),"")</f>
        <v/>
      </c>
      <c r="AW26" s="8" t="str">
        <f>IF(OR(표1_3[[#This Row],[등급]]="명서",(표1_3[[#This Row],[등급]]="고급")),IF(AL26="","",AL26*$AR26),"")</f>
        <v/>
      </c>
      <c r="AX26" s="8" t="str">
        <f>IF(OR(표1_3[[#This Row],[등급]]="명서",(표1_3[[#This Row],[등급]]="고급")),IF(AM26="","",AM26*$AR26),"")</f>
        <v/>
      </c>
      <c r="AY26" s="8" t="str">
        <f>IF(OR(표1_3[[#This Row],[등급]]="명서",(표1_3[[#This Row],[등급]]="고급")),IF(AN26="","",AN26*$AR26),"")</f>
        <v/>
      </c>
      <c r="AZ26" s="8" t="str">
        <f>IF(OR(표1_3[[#This Row],[등급]]="명서",(표1_3[[#This Row],[등급]]="고급")),IF(AO26="","",AO26*$AR26),"")</f>
        <v/>
      </c>
      <c r="BA26" s="8" t="str">
        <f>IF(OR(표1_3[[#This Row],[등급]]="명서",(표1_3[[#This Row],[등급]]="고급")),IF(AP26="","",AP26*$AR26),"")</f>
        <v/>
      </c>
      <c r="BB26" s="8" t="str">
        <f>IF(OR(표1_3[[#This Row],[등급]]="명서",(표1_3[[#This Row],[등급]]="고급")),IF(AQ26="","",AQ26*$AR26),"")</f>
        <v/>
      </c>
    </row>
    <row r="27" spans="1:54" x14ac:dyDescent="0.3">
      <c r="A27" s="5" t="s">
        <v>48</v>
      </c>
      <c r="B27" s="6" t="s">
        <v>12</v>
      </c>
      <c r="C27" s="203" t="s">
        <v>799</v>
      </c>
      <c r="D27" s="7" t="s">
        <v>55</v>
      </c>
      <c r="E27" s="7">
        <f t="array" ref="E27">INDEX(표1[내 책 등급], MATCH(1, (표1[사용자] ='성장 시뮬레이터'!$B$1) * (표1[책이름] = D27), 0))</f>
        <v>10</v>
      </c>
      <c r="F27" s="6" t="s">
        <v>21</v>
      </c>
      <c r="G27" s="142">
        <v>104</v>
      </c>
      <c r="H27" s="8" t="str">
        <f>IF(ISNUMBER(SEARCH("여", F27)), IF('성장 시뮬레이터'!$C$9=2, "O", "X"), "O")</f>
        <v>O</v>
      </c>
      <c r="I27" s="8" t="str">
        <f>IF(OR(ISNUMBER(SEARCH("위나라", F27)), ISNUMBER(SEARCH("촉나라", F27)), ISNUMBER(SEARCH("오나라", F27)), ISNUMBER(SEARCH("군웅", F27))), IF(ISNUMBER(SEARCH('성장 시뮬레이터'!$C$10, F27)), "O", "X"), "O")</f>
        <v>O</v>
      </c>
      <c r="J27" s="8" t="str">
        <f>IF(
    AND(
        H27="O",
        I27="O",
        IF(ISNUMBER(SEARCH("무력+지력", F27)), ('성장 시뮬레이터'!$G$5+'성장 시뮬레이터'!$G$6) &gt;= G27,
           IF(ISNUMBER(SEARCH("무력", F27)), '성장 시뮬레이터'!$G$5 &gt;= G27,
           IF(ISNUMBER(SEARCH("지력", F27)), '성장 시뮬레이터'!$G$6 &gt;= G27,
           IF(ISNUMBER(SEARCH("내력", F27)), '성장 시뮬레이터'!$G$7 &gt;= G27,
           IF(ISNUMBER(SEARCH("체력", F27)), '성장 시뮬레이터'!$G$8 &gt;= G27, FALSE)))))
    ), "O", "X")</f>
        <v>X</v>
      </c>
      <c r="K27" s="106" t="str">
        <f>IF(
    AND(
        H27="O",
        I27="O",
        IF(ISNUMBER(SEARCH("무력+지력", F27)), ('성장 시뮬레이터'!$I$5+'성장 시뮬레이터'!$I$6) &gt;= G27,
           IF(ISNUMBER(SEARCH("무력", F27)), '성장 시뮬레이터'!$I$5 &gt;= G27,
           IF(ISNUMBER(SEARCH("지력", F27)), '성장 시뮬레이터'!$I$6 &gt;= G27,
           IF(ISNUMBER(SEARCH("내력", F27)), '성장 시뮬레이터'!$I$7 &gt;= G27,
           IF(ISNUMBER(SEARCH("체력", F27)), '성장 시뮬레이터'!$I$8 &gt;= G27, FALSE)))))
    ), "O", "X")</f>
        <v>X</v>
      </c>
      <c r="L27" s="106" t="str">
        <f>IF(
    AND(
        H27="O",
        I27="O",
        IF(ISNUMBER(SEARCH("무력+지력", F27)), ('성장 시뮬레이터'!$K$5+'성장 시뮬레이터'!$K$6) &gt;= G27,
           IF(ISNUMBER(SEARCH("무력", F27)), '성장 시뮬레이터'!$K$5 &gt;= G27,
           IF(ISNUMBER(SEARCH("지력", F27)), '성장 시뮬레이터'!$K$6 &gt;= G27,
           IF(ISNUMBER(SEARCH("내력", F27)), '성장 시뮬레이터'!$K$7 &gt;= G27,
           IF(ISNUMBER(SEARCH("체력", F27)), '성장 시뮬레이터'!$K$8 &gt;= G27, FALSE)))))
    ), "O", "X")</f>
        <v>X</v>
      </c>
      <c r="M27" s="106" t="str">
        <f>IF(
    AND(
        H27="O",
        I27="O",
        IF(ISNUMBER(SEARCH("무력+지력", F27)), ('성장 시뮬레이터'!$M$5+'성장 시뮬레이터'!$M$6) &gt;= G27,
           IF(ISNUMBER(SEARCH("무력", F27)), '성장 시뮬레이터'!$M$5 &gt;= G27,
           IF(ISNUMBER(SEARCH("지력", F27)), '성장 시뮬레이터'!$M$6 &gt;= G27,
           IF(ISNUMBER(SEARCH("내력", F27)), '성장 시뮬레이터'!$M$7 &gt;= G27,
           IF(ISNUMBER(SEARCH("체력", F27)), '성장 시뮬레이터'!$M$8 &gt;= G27, FALSE)))))
    ), "O", "X")</f>
        <v>X</v>
      </c>
      <c r="N27" s="106" t="str">
        <f>IF(
    AND(
        H27="O",
        I27="O",
        IF(ISNUMBER(SEARCH("무력+지력", F27)), ('성장 시뮬레이터'!$O$5+'성장 시뮬레이터'!$O$6) &gt;= G27,
           IF(ISNUMBER(SEARCH("무력", F27)), '성장 시뮬레이터'!$O$5 &gt;= G27,
           IF(ISNUMBER(SEARCH("지력", F27)), '성장 시뮬레이터'!$O$6 &gt;= G27,
           IF(ISNUMBER(SEARCH("내력", F27)), '성장 시뮬레이터'!$O$7 &gt;= G27,
           IF(ISNUMBER(SEARCH("체력", F27)), '성장 시뮬레이터'!$O$8 &gt;= G27, FALSE)))))
    ), "O", "X")</f>
        <v>X</v>
      </c>
      <c r="O27" s="106" t="str">
        <f>IF(
    AND(
        H27="O",
        I27="O",
        IF(ISNUMBER(SEARCH("무력+지력", F27)), ('성장 시뮬레이터'!$Q$5+'성장 시뮬레이터'!$Q$6) &gt;= G27,
           IF(ISNUMBER(SEARCH("무력", F27)), '성장 시뮬레이터'!$Q$5 &gt;= G27,
           IF(ISNUMBER(SEARCH("지력", F27)), '성장 시뮬레이터'!$Q$6 &gt;= G27,
           IF(ISNUMBER(SEARCH("내력", F27)), '성장 시뮬레이터'!$Q$7 &gt;= G27,
           IF(ISNUMBER(SEARCH("체력", F27)), '성장 시뮬레이터'!$Q$8 &gt;= G27, FALSE)))))
    ), "O", "X")</f>
        <v>X</v>
      </c>
      <c r="P27" s="106" t="s">
        <v>905</v>
      </c>
      <c r="Q27" s="142" t="str">
        <f t="shared" si="0"/>
        <v/>
      </c>
      <c r="R27" s="142" t="str">
        <f t="shared" si="1"/>
        <v/>
      </c>
      <c r="S27" s="142">
        <f t="shared" si="2"/>
        <v>390</v>
      </c>
      <c r="T27" s="142" t="str">
        <f t="shared" si="3"/>
        <v/>
      </c>
      <c r="U27" s="142" t="str">
        <f t="shared" si="4"/>
        <v/>
      </c>
      <c r="V27" s="142">
        <f t="shared" si="5"/>
        <v>195</v>
      </c>
      <c r="W27" s="142" t="str">
        <f t="shared" si="6"/>
        <v/>
      </c>
      <c r="X27" s="142" t="str">
        <f t="shared" si="7"/>
        <v/>
      </c>
      <c r="Y27" s="142" t="str">
        <f t="shared" si="8"/>
        <v/>
      </c>
      <c r="Z27" s="142" t="str">
        <f t="shared" si="9"/>
        <v/>
      </c>
      <c r="AA27" s="11" t="s">
        <v>56</v>
      </c>
      <c r="AB27" s="11"/>
      <c r="AC27" s="11"/>
      <c r="AD27" s="11"/>
      <c r="AE27" s="12"/>
      <c r="AF27" s="144" t="s">
        <v>57</v>
      </c>
      <c r="AH27" s="8"/>
      <c r="AI27" s="8"/>
      <c r="AJ27" s="8">
        <v>60</v>
      </c>
      <c r="AK27" s="8"/>
      <c r="AL27" s="8"/>
      <c r="AM27" s="8">
        <v>30</v>
      </c>
      <c r="AN27" s="8"/>
      <c r="AO27" s="8"/>
      <c r="AP27" s="8"/>
      <c r="AQ27" s="8"/>
      <c r="AR27" s="103">
        <v>1.5</v>
      </c>
      <c r="AS27" s="8" t="str">
        <f>IF(OR(표1_3[[#This Row],[등급]]="명서",(표1_3[[#This Row],[등급]]="고급")),IF(AH27="","",AH27*$AR27),"")</f>
        <v/>
      </c>
      <c r="AT27" s="8" t="str">
        <f>IF(OR(표1_3[[#This Row],[등급]]="명서",(표1_3[[#This Row],[등급]]="고급")),IF(AI27="","",AI27*$AR27),"")</f>
        <v/>
      </c>
      <c r="AU27" s="8">
        <f>IF(OR(표1_3[[#This Row],[등급]]="명서",(표1_3[[#This Row],[등급]]="고급")),IF(AJ27="","",AJ27*$AR27),"")</f>
        <v>90</v>
      </c>
      <c r="AV27" s="8" t="str">
        <f>IF(OR(표1_3[[#This Row],[등급]]="명서",(표1_3[[#This Row],[등급]]="고급")),IF(AK27="","",AK27*$AR27),"")</f>
        <v/>
      </c>
      <c r="AW27" s="8" t="str">
        <f>IF(OR(표1_3[[#This Row],[등급]]="명서",(표1_3[[#This Row],[등급]]="고급")),IF(AL27="","",AL27*$AR27),"")</f>
        <v/>
      </c>
      <c r="AX27" s="8">
        <f>IF(OR(표1_3[[#This Row],[등급]]="명서",(표1_3[[#This Row],[등급]]="고급")),IF(AM27="","",AM27*$AR27),"")</f>
        <v>45</v>
      </c>
      <c r="AY27" s="8" t="str">
        <f>IF(OR(표1_3[[#This Row],[등급]]="명서",(표1_3[[#This Row],[등급]]="고급")),IF(AN27="","",AN27*$AR27),"")</f>
        <v/>
      </c>
      <c r="AZ27" s="8" t="str">
        <f>IF(OR(표1_3[[#This Row],[등급]]="명서",(표1_3[[#This Row],[등급]]="고급")),IF(AO27="","",AO27*$AR27),"")</f>
        <v/>
      </c>
      <c r="BA27" s="8" t="str">
        <f>IF(OR(표1_3[[#This Row],[등급]]="명서",(표1_3[[#This Row],[등급]]="고급")),IF(AP27="","",AP27*$AR27),"")</f>
        <v/>
      </c>
      <c r="BB27" s="8" t="str">
        <f>IF(OR(표1_3[[#This Row],[등급]]="명서",(표1_3[[#This Row],[등급]]="고급")),IF(AQ27="","",AQ27*$AR27),"")</f>
        <v/>
      </c>
    </row>
    <row r="28" spans="1:54" x14ac:dyDescent="0.3">
      <c r="A28" s="5" t="s">
        <v>48</v>
      </c>
      <c r="B28" s="6" t="s">
        <v>12</v>
      </c>
      <c r="C28" s="203" t="s">
        <v>799</v>
      </c>
      <c r="D28" s="7" t="s">
        <v>58</v>
      </c>
      <c r="E28" s="7">
        <f t="array" ref="E28">INDEX(표1[내 책 등급], MATCH(1, (표1[사용자] ='성장 시뮬레이터'!$B$1) * (표1[책이름] = D28), 0))</f>
        <v>9</v>
      </c>
      <c r="F28" s="6" t="s">
        <v>14</v>
      </c>
      <c r="G28" s="142">
        <v>104</v>
      </c>
      <c r="H28" s="8" t="str">
        <f>IF(ISNUMBER(SEARCH("여", F28)), IF('성장 시뮬레이터'!$C$9=2, "O", "X"), "O")</f>
        <v>O</v>
      </c>
      <c r="I28" s="8" t="str">
        <f>IF(OR(ISNUMBER(SEARCH("위나라", F28)), ISNUMBER(SEARCH("촉나라", F28)), ISNUMBER(SEARCH("오나라", F28)), ISNUMBER(SEARCH("군웅", F28))), IF(ISNUMBER(SEARCH('성장 시뮬레이터'!$C$10, F28)), "O", "X"), "O")</f>
        <v>O</v>
      </c>
      <c r="J28" s="8" t="str">
        <f>IF(
    AND(
        H28="O",
        I28="O",
        IF(ISNUMBER(SEARCH("무력+지력", F28)), ('성장 시뮬레이터'!$G$5+'성장 시뮬레이터'!$G$6) &gt;= G28,
           IF(ISNUMBER(SEARCH("무력", F28)), '성장 시뮬레이터'!$G$5 &gt;= G28,
           IF(ISNUMBER(SEARCH("지력", F28)), '성장 시뮬레이터'!$G$6 &gt;= G28,
           IF(ISNUMBER(SEARCH("내력", F28)), '성장 시뮬레이터'!$G$7 &gt;= G28,
           IF(ISNUMBER(SEARCH("체력", F28)), '성장 시뮬레이터'!$G$8 &gt;= G28, FALSE)))))
    ), "O", "X")</f>
        <v>X</v>
      </c>
      <c r="K28" s="106" t="str">
        <f>IF(
    AND(
        H28="O",
        I28="O",
        IF(ISNUMBER(SEARCH("무력+지력", F28)), ('성장 시뮬레이터'!$I$5+'성장 시뮬레이터'!$I$6) &gt;= G28,
           IF(ISNUMBER(SEARCH("무력", F28)), '성장 시뮬레이터'!$I$5 &gt;= G28,
           IF(ISNUMBER(SEARCH("지력", F28)), '성장 시뮬레이터'!$I$6 &gt;= G28,
           IF(ISNUMBER(SEARCH("내력", F28)), '성장 시뮬레이터'!$I$7 &gt;= G28,
           IF(ISNUMBER(SEARCH("체력", F28)), '성장 시뮬레이터'!$I$8 &gt;= G28, FALSE)))))
    ), "O", "X")</f>
        <v>O</v>
      </c>
      <c r="L28" s="106" t="str">
        <f>IF(
    AND(
        H28="O",
        I28="O",
        IF(ISNUMBER(SEARCH("무력+지력", F28)), ('성장 시뮬레이터'!$K$5+'성장 시뮬레이터'!$K$6) &gt;= G28,
           IF(ISNUMBER(SEARCH("무력", F28)), '성장 시뮬레이터'!$K$5 &gt;= G28,
           IF(ISNUMBER(SEARCH("지력", F28)), '성장 시뮬레이터'!$K$6 &gt;= G28,
           IF(ISNUMBER(SEARCH("내력", F28)), '성장 시뮬레이터'!$K$7 &gt;= G28,
           IF(ISNUMBER(SEARCH("체력", F28)), '성장 시뮬레이터'!$K$8 &gt;= G28, FALSE)))))
    ), "O", "X")</f>
        <v>O</v>
      </c>
      <c r="M28" s="106" t="str">
        <f>IF(
    AND(
        H28="O",
        I28="O",
        IF(ISNUMBER(SEARCH("무력+지력", F28)), ('성장 시뮬레이터'!$M$5+'성장 시뮬레이터'!$M$6) &gt;= G28,
           IF(ISNUMBER(SEARCH("무력", F28)), '성장 시뮬레이터'!$M$5 &gt;= G28,
           IF(ISNUMBER(SEARCH("지력", F28)), '성장 시뮬레이터'!$M$6 &gt;= G28,
           IF(ISNUMBER(SEARCH("내력", F28)), '성장 시뮬레이터'!$M$7 &gt;= G28,
           IF(ISNUMBER(SEARCH("체력", F28)), '성장 시뮬레이터'!$M$8 &gt;= G28, FALSE)))))
    ), "O", "X")</f>
        <v>O</v>
      </c>
      <c r="N28" s="106" t="str">
        <f>IF(
    AND(
        H28="O",
        I28="O",
        IF(ISNUMBER(SEARCH("무력+지력", F28)), ('성장 시뮬레이터'!$O$5+'성장 시뮬레이터'!$O$6) &gt;= G28,
           IF(ISNUMBER(SEARCH("무력", F28)), '성장 시뮬레이터'!$O$5 &gt;= G28,
           IF(ISNUMBER(SEARCH("지력", F28)), '성장 시뮬레이터'!$O$6 &gt;= G28,
           IF(ISNUMBER(SEARCH("내력", F28)), '성장 시뮬레이터'!$O$7 &gt;= G28,
           IF(ISNUMBER(SEARCH("체력", F28)), '성장 시뮬레이터'!$O$8 &gt;= G28, FALSE)))))
    ), "O", "X")</f>
        <v>O</v>
      </c>
      <c r="O28" s="106" t="str">
        <f>IF(
    AND(
        H28="O",
        I28="O",
        IF(ISNUMBER(SEARCH("무력+지력", F28)), ('성장 시뮬레이터'!$Q$5+'성장 시뮬레이터'!$Q$6) &gt;= G28,
           IF(ISNUMBER(SEARCH("무력", F28)), '성장 시뮬레이터'!$Q$5 &gt;= G28,
           IF(ISNUMBER(SEARCH("지력", F28)), '성장 시뮬레이터'!$Q$6 &gt;= G28,
           IF(ISNUMBER(SEARCH("내력", F28)), '성장 시뮬레이터'!$Q$7 &gt;= G28,
           IF(ISNUMBER(SEARCH("체력", F28)), '성장 시뮬레이터'!$Q$8 &gt;= G28, FALSE)))))
    ), "O", "X")</f>
        <v>O</v>
      </c>
      <c r="P28" s="106" t="s">
        <v>904</v>
      </c>
      <c r="Q28" s="142">
        <f t="shared" si="0"/>
        <v>100</v>
      </c>
      <c r="R28" s="142">
        <f t="shared" si="1"/>
        <v>200</v>
      </c>
      <c r="S28" s="142" t="str">
        <f t="shared" si="2"/>
        <v/>
      </c>
      <c r="T28" s="142" t="str">
        <f t="shared" si="3"/>
        <v/>
      </c>
      <c r="U28" s="142" t="str">
        <f t="shared" si="4"/>
        <v/>
      </c>
      <c r="V28" s="142" t="str">
        <f t="shared" si="5"/>
        <v/>
      </c>
      <c r="W28" s="142" t="str">
        <f t="shared" si="6"/>
        <v/>
      </c>
      <c r="X28" s="142" t="str">
        <f t="shared" si="7"/>
        <v/>
      </c>
      <c r="Y28" s="142" t="str">
        <f t="shared" si="8"/>
        <v/>
      </c>
      <c r="Z28" s="142">
        <f t="shared" si="9"/>
        <v>100</v>
      </c>
      <c r="AA28" s="9" t="s">
        <v>59</v>
      </c>
      <c r="AB28" s="9"/>
      <c r="AC28" s="9"/>
      <c r="AD28" s="9"/>
      <c r="AE28" s="10"/>
      <c r="AF28" s="143" t="s">
        <v>60</v>
      </c>
      <c r="AH28" s="8">
        <v>20</v>
      </c>
      <c r="AI28" s="8">
        <v>40</v>
      </c>
      <c r="AJ28" s="8"/>
      <c r="AK28" s="8"/>
      <c r="AL28" s="8"/>
      <c r="AM28" s="8"/>
      <c r="AN28" s="8"/>
      <c r="AO28" s="8"/>
      <c r="AP28" s="8"/>
      <c r="AQ28" s="8">
        <v>20</v>
      </c>
      <c r="AR28" s="103">
        <v>1.5</v>
      </c>
      <c r="AS28" s="8">
        <f>IF(OR(표1_3[[#This Row],[등급]]="명서",(표1_3[[#This Row],[등급]]="고급")),IF(AH28="","",AH28*$AR28),"")</f>
        <v>30</v>
      </c>
      <c r="AT28" s="8">
        <f>IF(OR(표1_3[[#This Row],[등급]]="명서",(표1_3[[#This Row],[등급]]="고급")),IF(AI28="","",AI28*$AR28),"")</f>
        <v>60</v>
      </c>
      <c r="AU28" s="8" t="str">
        <f>IF(OR(표1_3[[#This Row],[등급]]="명서",(표1_3[[#This Row],[등급]]="고급")),IF(AJ28="","",AJ28*$AR28),"")</f>
        <v/>
      </c>
      <c r="AV28" s="8" t="str">
        <f>IF(OR(표1_3[[#This Row],[등급]]="명서",(표1_3[[#This Row],[등급]]="고급")),IF(AK28="","",AK28*$AR28),"")</f>
        <v/>
      </c>
      <c r="AW28" s="8" t="str">
        <f>IF(OR(표1_3[[#This Row],[등급]]="명서",(표1_3[[#This Row],[등급]]="고급")),IF(AL28="","",AL28*$AR28),"")</f>
        <v/>
      </c>
      <c r="AX28" s="8" t="str">
        <f>IF(OR(표1_3[[#This Row],[등급]]="명서",(표1_3[[#This Row],[등급]]="고급")),IF(AM28="","",AM28*$AR28),"")</f>
        <v/>
      </c>
      <c r="AY28" s="8" t="str">
        <f>IF(OR(표1_3[[#This Row],[등급]]="명서",(표1_3[[#This Row],[등급]]="고급")),IF(AN28="","",AN28*$AR28),"")</f>
        <v/>
      </c>
      <c r="AZ28" s="8" t="str">
        <f>IF(OR(표1_3[[#This Row],[등급]]="명서",(표1_3[[#This Row],[등급]]="고급")),IF(AO28="","",AO28*$AR28),"")</f>
        <v/>
      </c>
      <c r="BA28" s="8" t="str">
        <f>IF(OR(표1_3[[#This Row],[등급]]="명서",(표1_3[[#This Row],[등급]]="고급")),IF(AP28="","",AP28*$AR28),"")</f>
        <v/>
      </c>
      <c r="BB28" s="8">
        <f>IF(OR(표1_3[[#This Row],[등급]]="명서",(표1_3[[#This Row],[등급]]="고급")),IF(AQ28="","",AQ28*$AR28),"")</f>
        <v>30</v>
      </c>
    </row>
    <row r="29" spans="1:54" x14ac:dyDescent="0.3">
      <c r="A29" s="5" t="s">
        <v>48</v>
      </c>
      <c r="B29" s="6" t="s">
        <v>12</v>
      </c>
      <c r="C29" s="203" t="s">
        <v>799</v>
      </c>
      <c r="D29" s="7" t="s">
        <v>61</v>
      </c>
      <c r="E29" s="7">
        <f t="array" ref="E29">INDEX(표1[내 책 등급], MATCH(1, (표1[사용자] ='성장 시뮬레이터'!$B$1) * (표1[책이름] = D29), 0))</f>
        <v>10</v>
      </c>
      <c r="F29" s="6" t="s">
        <v>14</v>
      </c>
      <c r="G29" s="142">
        <v>95</v>
      </c>
      <c r="H29" s="8" t="str">
        <f>IF(ISNUMBER(SEARCH("여", F29)), IF('성장 시뮬레이터'!$C$9=2, "O", "X"), "O")</f>
        <v>O</v>
      </c>
      <c r="I29" s="8" t="str">
        <f>IF(OR(ISNUMBER(SEARCH("위나라", F29)), ISNUMBER(SEARCH("촉나라", F29)), ISNUMBER(SEARCH("오나라", F29)), ISNUMBER(SEARCH("군웅", F29))), IF(ISNUMBER(SEARCH('성장 시뮬레이터'!$C$10, F29)), "O", "X"), "O")</f>
        <v>O</v>
      </c>
      <c r="J29" s="8" t="str">
        <f>IF(
    AND(
        H29="O",
        I29="O",
        IF(ISNUMBER(SEARCH("무력+지력", F29)), ('성장 시뮬레이터'!$G$5+'성장 시뮬레이터'!$G$6) &gt;= G29,
           IF(ISNUMBER(SEARCH("무력", F29)), '성장 시뮬레이터'!$G$5 &gt;= G29,
           IF(ISNUMBER(SEARCH("지력", F29)), '성장 시뮬레이터'!$G$6 &gt;= G29,
           IF(ISNUMBER(SEARCH("내력", F29)), '성장 시뮬레이터'!$G$7 &gt;= G29,
           IF(ISNUMBER(SEARCH("체력", F29)), '성장 시뮬레이터'!$G$8 &gt;= G29, FALSE)))))
    ), "O", "X")</f>
        <v>O</v>
      </c>
      <c r="K29" s="106" t="str">
        <f>IF(
    AND(
        H29="O",
        I29="O",
        IF(ISNUMBER(SEARCH("무력+지력", F29)), ('성장 시뮬레이터'!$I$5+'성장 시뮬레이터'!$I$6) &gt;= G29,
           IF(ISNUMBER(SEARCH("무력", F29)), '성장 시뮬레이터'!$I$5 &gt;= G29,
           IF(ISNUMBER(SEARCH("지력", F29)), '성장 시뮬레이터'!$I$6 &gt;= G29,
           IF(ISNUMBER(SEARCH("내력", F29)), '성장 시뮬레이터'!$I$7 &gt;= G29,
           IF(ISNUMBER(SEARCH("체력", F29)), '성장 시뮬레이터'!$I$8 &gt;= G29, FALSE)))))
    ), "O", "X")</f>
        <v>O</v>
      </c>
      <c r="L29" s="106" t="str">
        <f>IF(
    AND(
        H29="O",
        I29="O",
        IF(ISNUMBER(SEARCH("무력+지력", F29)), ('성장 시뮬레이터'!$K$5+'성장 시뮬레이터'!$K$6) &gt;= G29,
           IF(ISNUMBER(SEARCH("무력", F29)), '성장 시뮬레이터'!$K$5 &gt;= G29,
           IF(ISNUMBER(SEARCH("지력", F29)), '성장 시뮬레이터'!$K$6 &gt;= G29,
           IF(ISNUMBER(SEARCH("내력", F29)), '성장 시뮬레이터'!$K$7 &gt;= G29,
           IF(ISNUMBER(SEARCH("체력", F29)), '성장 시뮬레이터'!$K$8 &gt;= G29, FALSE)))))
    ), "O", "X")</f>
        <v>O</v>
      </c>
      <c r="M29" s="106" t="str">
        <f>IF(
    AND(
        H29="O",
        I29="O",
        IF(ISNUMBER(SEARCH("무력+지력", F29)), ('성장 시뮬레이터'!$M$5+'성장 시뮬레이터'!$M$6) &gt;= G29,
           IF(ISNUMBER(SEARCH("무력", F29)), '성장 시뮬레이터'!$M$5 &gt;= G29,
           IF(ISNUMBER(SEARCH("지력", F29)), '성장 시뮬레이터'!$M$6 &gt;= G29,
           IF(ISNUMBER(SEARCH("내력", F29)), '성장 시뮬레이터'!$M$7 &gt;= G29,
           IF(ISNUMBER(SEARCH("체력", F29)), '성장 시뮬레이터'!$M$8 &gt;= G29, FALSE)))))
    ), "O", "X")</f>
        <v>O</v>
      </c>
      <c r="N29" s="106" t="str">
        <f>IF(
    AND(
        H29="O",
        I29="O",
        IF(ISNUMBER(SEARCH("무력+지력", F29)), ('성장 시뮬레이터'!$O$5+'성장 시뮬레이터'!$O$6) &gt;= G29,
           IF(ISNUMBER(SEARCH("무력", F29)), '성장 시뮬레이터'!$O$5 &gt;= G29,
           IF(ISNUMBER(SEARCH("지력", F29)), '성장 시뮬레이터'!$O$6 &gt;= G29,
           IF(ISNUMBER(SEARCH("내력", F29)), '성장 시뮬레이터'!$O$7 &gt;= G29,
           IF(ISNUMBER(SEARCH("체력", F29)), '성장 시뮬레이터'!$O$8 &gt;= G29, FALSE)))))
    ), "O", "X")</f>
        <v>O</v>
      </c>
      <c r="O29" s="106" t="str">
        <f>IF(
    AND(
        H29="O",
        I29="O",
        IF(ISNUMBER(SEARCH("무력+지력", F29)), ('성장 시뮬레이터'!$Q$5+'성장 시뮬레이터'!$Q$6) &gt;= G29,
           IF(ISNUMBER(SEARCH("무력", F29)), '성장 시뮬레이터'!$Q$5 &gt;= G29,
           IF(ISNUMBER(SEARCH("지력", F29)), '성장 시뮬레이터'!$Q$6 &gt;= G29,
           IF(ISNUMBER(SEARCH("내력", F29)), '성장 시뮬레이터'!$Q$7 &gt;= G29,
           IF(ISNUMBER(SEARCH("체력", F29)), '성장 시뮬레이터'!$Q$8 &gt;= G29, FALSE)))))
    ), "O", "X")</f>
        <v>O</v>
      </c>
      <c r="P29" s="106" t="s">
        <v>904</v>
      </c>
      <c r="Q29" s="142" t="str">
        <f t="shared" si="0"/>
        <v/>
      </c>
      <c r="R29" s="142">
        <f t="shared" si="1"/>
        <v>260</v>
      </c>
      <c r="S29" s="142" t="str">
        <f t="shared" si="2"/>
        <v/>
      </c>
      <c r="T29" s="142" t="str">
        <f t="shared" si="3"/>
        <v/>
      </c>
      <c r="U29" s="142" t="str">
        <f t="shared" si="4"/>
        <v/>
      </c>
      <c r="V29" s="142" t="str">
        <f t="shared" si="5"/>
        <v/>
      </c>
      <c r="W29" s="142">
        <f t="shared" si="6"/>
        <v>195</v>
      </c>
      <c r="X29" s="142" t="str">
        <f t="shared" si="7"/>
        <v/>
      </c>
      <c r="Y29" s="142" t="str">
        <f t="shared" si="8"/>
        <v/>
      </c>
      <c r="Z29" s="142" t="str">
        <f t="shared" si="9"/>
        <v/>
      </c>
      <c r="AA29" s="9" t="s">
        <v>62</v>
      </c>
      <c r="AB29" s="9"/>
      <c r="AC29" s="9"/>
      <c r="AD29" s="9"/>
      <c r="AE29" s="10"/>
      <c r="AF29" s="143" t="s">
        <v>63</v>
      </c>
      <c r="AH29" s="8"/>
      <c r="AI29" s="8">
        <v>40</v>
      </c>
      <c r="AJ29" s="8"/>
      <c r="AK29" s="8"/>
      <c r="AL29" s="8"/>
      <c r="AM29" s="8"/>
      <c r="AN29" s="8">
        <v>30</v>
      </c>
      <c r="AO29" s="8"/>
      <c r="AP29" s="8"/>
      <c r="AQ29" s="8"/>
      <c r="AR29" s="103">
        <v>1.5</v>
      </c>
      <c r="AS29" s="8" t="str">
        <f>IF(OR(표1_3[[#This Row],[등급]]="명서",(표1_3[[#This Row],[등급]]="고급")),IF(AH29="","",AH29*$AR29),"")</f>
        <v/>
      </c>
      <c r="AT29" s="8">
        <f>IF(OR(표1_3[[#This Row],[등급]]="명서",(표1_3[[#This Row],[등급]]="고급")),IF(AI29="","",AI29*$AR29),"")</f>
        <v>60</v>
      </c>
      <c r="AU29" s="8" t="str">
        <f>IF(OR(표1_3[[#This Row],[등급]]="명서",(표1_3[[#This Row],[등급]]="고급")),IF(AJ29="","",AJ29*$AR29),"")</f>
        <v/>
      </c>
      <c r="AV29" s="8" t="str">
        <f>IF(OR(표1_3[[#This Row],[등급]]="명서",(표1_3[[#This Row],[등급]]="고급")),IF(AK29="","",AK29*$AR29),"")</f>
        <v/>
      </c>
      <c r="AW29" s="8" t="str">
        <f>IF(OR(표1_3[[#This Row],[등급]]="명서",(표1_3[[#This Row],[등급]]="고급")),IF(AL29="","",AL29*$AR29),"")</f>
        <v/>
      </c>
      <c r="AX29" s="8" t="str">
        <f>IF(OR(표1_3[[#This Row],[등급]]="명서",(표1_3[[#This Row],[등급]]="고급")),IF(AM29="","",AM29*$AR29),"")</f>
        <v/>
      </c>
      <c r="AY29" s="8">
        <f>IF(OR(표1_3[[#This Row],[등급]]="명서",(표1_3[[#This Row],[등급]]="고급")),IF(AN29="","",AN29*$AR29),"")</f>
        <v>45</v>
      </c>
      <c r="AZ29" s="8" t="str">
        <f>IF(OR(표1_3[[#This Row],[등급]]="명서",(표1_3[[#This Row],[등급]]="고급")),IF(AO29="","",AO29*$AR29),"")</f>
        <v/>
      </c>
      <c r="BA29" s="8" t="str">
        <f>IF(OR(표1_3[[#This Row],[등급]]="명서",(표1_3[[#This Row],[등급]]="고급")),IF(AP29="","",AP29*$AR29),"")</f>
        <v/>
      </c>
      <c r="BB29" s="8" t="str">
        <f>IF(OR(표1_3[[#This Row],[등급]]="명서",(표1_3[[#This Row],[등급]]="고급")),IF(AQ29="","",AQ29*$AR29),"")</f>
        <v/>
      </c>
    </row>
    <row r="30" spans="1:54" x14ac:dyDescent="0.3">
      <c r="A30" s="5" t="s">
        <v>48</v>
      </c>
      <c r="B30" s="6" t="s">
        <v>12</v>
      </c>
      <c r="C30" s="203" t="s">
        <v>799</v>
      </c>
      <c r="D30" s="7" t="s">
        <v>64</v>
      </c>
      <c r="E30" s="7">
        <f t="array" ref="E30">INDEX(표1[내 책 등급], MATCH(1, (표1[사용자] ='성장 시뮬레이터'!$B$1) * (표1[책이름] = D30), 0))</f>
        <v>10</v>
      </c>
      <c r="F30" s="6" t="s">
        <v>14</v>
      </c>
      <c r="G30" s="142">
        <v>95</v>
      </c>
      <c r="H30" s="8" t="str">
        <f>IF(ISNUMBER(SEARCH("여", F30)), IF('성장 시뮬레이터'!$C$9=2, "O", "X"), "O")</f>
        <v>O</v>
      </c>
      <c r="I30" s="8" t="str">
        <f>IF(OR(ISNUMBER(SEARCH("위나라", F30)), ISNUMBER(SEARCH("촉나라", F30)), ISNUMBER(SEARCH("오나라", F30)), ISNUMBER(SEARCH("군웅", F30))), IF(ISNUMBER(SEARCH('성장 시뮬레이터'!$C$10, F30)), "O", "X"), "O")</f>
        <v>O</v>
      </c>
      <c r="J30" s="8" t="str">
        <f>IF(
    AND(
        H30="O",
        I30="O",
        IF(ISNUMBER(SEARCH("무력+지력", F30)), ('성장 시뮬레이터'!$G$5+'성장 시뮬레이터'!$G$6) &gt;= G30,
           IF(ISNUMBER(SEARCH("무력", F30)), '성장 시뮬레이터'!$G$5 &gt;= G30,
           IF(ISNUMBER(SEARCH("지력", F30)), '성장 시뮬레이터'!$G$6 &gt;= G30,
           IF(ISNUMBER(SEARCH("내력", F30)), '성장 시뮬레이터'!$G$7 &gt;= G30,
           IF(ISNUMBER(SEARCH("체력", F30)), '성장 시뮬레이터'!$G$8 &gt;= G30, FALSE)))))
    ), "O", "X")</f>
        <v>O</v>
      </c>
      <c r="K30" s="106" t="str">
        <f>IF(
    AND(
        H30="O",
        I30="O",
        IF(ISNUMBER(SEARCH("무력+지력", F30)), ('성장 시뮬레이터'!$I$5+'성장 시뮬레이터'!$I$6) &gt;= G30,
           IF(ISNUMBER(SEARCH("무력", F30)), '성장 시뮬레이터'!$I$5 &gt;= G30,
           IF(ISNUMBER(SEARCH("지력", F30)), '성장 시뮬레이터'!$I$6 &gt;= G30,
           IF(ISNUMBER(SEARCH("내력", F30)), '성장 시뮬레이터'!$I$7 &gt;= G30,
           IF(ISNUMBER(SEARCH("체력", F30)), '성장 시뮬레이터'!$I$8 &gt;= G30, FALSE)))))
    ), "O", "X")</f>
        <v>O</v>
      </c>
      <c r="L30" s="106" t="str">
        <f>IF(
    AND(
        H30="O",
        I30="O",
        IF(ISNUMBER(SEARCH("무력+지력", F30)), ('성장 시뮬레이터'!$K$5+'성장 시뮬레이터'!$K$6) &gt;= G30,
           IF(ISNUMBER(SEARCH("무력", F30)), '성장 시뮬레이터'!$K$5 &gt;= G30,
           IF(ISNUMBER(SEARCH("지력", F30)), '성장 시뮬레이터'!$K$6 &gt;= G30,
           IF(ISNUMBER(SEARCH("내력", F30)), '성장 시뮬레이터'!$K$7 &gt;= G30,
           IF(ISNUMBER(SEARCH("체력", F30)), '성장 시뮬레이터'!$K$8 &gt;= G30, FALSE)))))
    ), "O", "X")</f>
        <v>O</v>
      </c>
      <c r="M30" s="106" t="str">
        <f>IF(
    AND(
        H30="O",
        I30="O",
        IF(ISNUMBER(SEARCH("무력+지력", F30)), ('성장 시뮬레이터'!$M$5+'성장 시뮬레이터'!$M$6) &gt;= G30,
           IF(ISNUMBER(SEARCH("무력", F30)), '성장 시뮬레이터'!$M$5 &gt;= G30,
           IF(ISNUMBER(SEARCH("지력", F30)), '성장 시뮬레이터'!$M$6 &gt;= G30,
           IF(ISNUMBER(SEARCH("내력", F30)), '성장 시뮬레이터'!$M$7 &gt;= G30,
           IF(ISNUMBER(SEARCH("체력", F30)), '성장 시뮬레이터'!$M$8 &gt;= G30, FALSE)))))
    ), "O", "X")</f>
        <v>O</v>
      </c>
      <c r="N30" s="106" t="str">
        <f>IF(
    AND(
        H30="O",
        I30="O",
        IF(ISNUMBER(SEARCH("무력+지력", F30)), ('성장 시뮬레이터'!$O$5+'성장 시뮬레이터'!$O$6) &gt;= G30,
           IF(ISNUMBER(SEARCH("무력", F30)), '성장 시뮬레이터'!$O$5 &gt;= G30,
           IF(ISNUMBER(SEARCH("지력", F30)), '성장 시뮬레이터'!$O$6 &gt;= G30,
           IF(ISNUMBER(SEARCH("내력", F30)), '성장 시뮬레이터'!$O$7 &gt;= G30,
           IF(ISNUMBER(SEARCH("체력", F30)), '성장 시뮬레이터'!$O$8 &gt;= G30, FALSE)))))
    ), "O", "X")</f>
        <v>O</v>
      </c>
      <c r="O30" s="106" t="str">
        <f>IF(
    AND(
        H30="O",
        I30="O",
        IF(ISNUMBER(SEARCH("무력+지력", F30)), ('성장 시뮬레이터'!$Q$5+'성장 시뮬레이터'!$Q$6) &gt;= G30,
           IF(ISNUMBER(SEARCH("무력", F30)), '성장 시뮬레이터'!$Q$5 &gt;= G30,
           IF(ISNUMBER(SEARCH("지력", F30)), '성장 시뮬레이터'!$Q$6 &gt;= G30,
           IF(ISNUMBER(SEARCH("내력", F30)), '성장 시뮬레이터'!$Q$7 &gt;= G30,
           IF(ISNUMBER(SEARCH("체력", F30)), '성장 시뮬레이터'!$Q$8 &gt;= G30, FALSE)))))
    ), "O", "X")</f>
        <v>O</v>
      </c>
      <c r="P30" s="106" t="s">
        <v>904</v>
      </c>
      <c r="Q30" s="142" t="str">
        <f t="shared" si="0"/>
        <v/>
      </c>
      <c r="R30" s="142">
        <f t="shared" si="1"/>
        <v>260</v>
      </c>
      <c r="S30" s="142" t="str">
        <f t="shared" si="2"/>
        <v/>
      </c>
      <c r="T30" s="142" t="str">
        <f t="shared" si="3"/>
        <v/>
      </c>
      <c r="U30" s="142" t="str">
        <f t="shared" si="4"/>
        <v/>
      </c>
      <c r="V30" s="142" t="str">
        <f t="shared" si="5"/>
        <v/>
      </c>
      <c r="W30" s="142" t="str">
        <f t="shared" si="6"/>
        <v/>
      </c>
      <c r="X30" s="142" t="str">
        <f t="shared" si="7"/>
        <v/>
      </c>
      <c r="Y30" s="142">
        <f t="shared" si="8"/>
        <v>195</v>
      </c>
      <c r="Z30" s="142" t="str">
        <f t="shared" si="9"/>
        <v/>
      </c>
      <c r="AA30" s="9" t="s">
        <v>65</v>
      </c>
      <c r="AB30" s="9"/>
      <c r="AC30" s="9"/>
      <c r="AD30" s="9"/>
      <c r="AE30" s="10"/>
      <c r="AF30" s="143" t="s">
        <v>66</v>
      </c>
      <c r="AH30" s="8"/>
      <c r="AI30" s="8">
        <v>40</v>
      </c>
      <c r="AJ30" s="8"/>
      <c r="AK30" s="8"/>
      <c r="AL30" s="8"/>
      <c r="AM30" s="8"/>
      <c r="AN30" s="8"/>
      <c r="AO30" s="8"/>
      <c r="AP30" s="8">
        <v>30</v>
      </c>
      <c r="AQ30" s="8"/>
      <c r="AR30" s="103">
        <v>1.5</v>
      </c>
      <c r="AS30" s="8" t="str">
        <f>IF(OR(표1_3[[#This Row],[등급]]="명서",(표1_3[[#This Row],[등급]]="고급")),IF(AH30="","",AH30*$AR30),"")</f>
        <v/>
      </c>
      <c r="AT30" s="8">
        <f>IF(OR(표1_3[[#This Row],[등급]]="명서",(표1_3[[#This Row],[등급]]="고급")),IF(AI30="","",AI30*$AR30),"")</f>
        <v>60</v>
      </c>
      <c r="AU30" s="8" t="str">
        <f>IF(OR(표1_3[[#This Row],[등급]]="명서",(표1_3[[#This Row],[등급]]="고급")),IF(AJ30="","",AJ30*$AR30),"")</f>
        <v/>
      </c>
      <c r="AV30" s="8" t="str">
        <f>IF(OR(표1_3[[#This Row],[등급]]="명서",(표1_3[[#This Row],[등급]]="고급")),IF(AK30="","",AK30*$AR30),"")</f>
        <v/>
      </c>
      <c r="AW30" s="8" t="str">
        <f>IF(OR(표1_3[[#This Row],[등급]]="명서",(표1_3[[#This Row],[등급]]="고급")),IF(AL30="","",AL30*$AR30),"")</f>
        <v/>
      </c>
      <c r="AX30" s="8" t="str">
        <f>IF(OR(표1_3[[#This Row],[등급]]="명서",(표1_3[[#This Row],[등급]]="고급")),IF(AM30="","",AM30*$AR30),"")</f>
        <v/>
      </c>
      <c r="AY30" s="8" t="str">
        <f>IF(OR(표1_3[[#This Row],[등급]]="명서",(표1_3[[#This Row],[등급]]="고급")),IF(AN30="","",AN30*$AR30),"")</f>
        <v/>
      </c>
      <c r="AZ30" s="8" t="str">
        <f>IF(OR(표1_3[[#This Row],[등급]]="명서",(표1_3[[#This Row],[등급]]="고급")),IF(AO30="","",AO30*$AR30),"")</f>
        <v/>
      </c>
      <c r="BA30" s="8">
        <f>IF(OR(표1_3[[#This Row],[등급]]="명서",(표1_3[[#This Row],[등급]]="고급")),IF(AP30="","",AP30*$AR30),"")</f>
        <v>45</v>
      </c>
      <c r="BB30" s="8" t="str">
        <f>IF(OR(표1_3[[#This Row],[등급]]="명서",(표1_3[[#This Row],[등급]]="고급")),IF(AQ30="","",AQ30*$AR30),"")</f>
        <v/>
      </c>
    </row>
    <row r="31" spans="1:54" x14ac:dyDescent="0.3">
      <c r="A31" s="5" t="s">
        <v>48</v>
      </c>
      <c r="B31" s="6" t="s">
        <v>12</v>
      </c>
      <c r="C31" s="203" t="s">
        <v>799</v>
      </c>
      <c r="D31" s="7" t="s">
        <v>67</v>
      </c>
      <c r="E31" s="7">
        <f t="array" ref="E31">INDEX(표1[내 책 등급], MATCH(1, (표1[사용자] ='성장 시뮬레이터'!$B$1) * (표1[책이름] = D31), 0))</f>
        <v>10</v>
      </c>
      <c r="F31" s="6" t="s">
        <v>14</v>
      </c>
      <c r="G31" s="142">
        <v>98</v>
      </c>
      <c r="H31" s="8" t="str">
        <f>IF(ISNUMBER(SEARCH("여", F31)), IF('성장 시뮬레이터'!$C$9=2, "O", "X"), "O")</f>
        <v>O</v>
      </c>
      <c r="I31" s="8" t="str">
        <f>IF(OR(ISNUMBER(SEARCH("위나라", F31)), ISNUMBER(SEARCH("촉나라", F31)), ISNUMBER(SEARCH("오나라", F31)), ISNUMBER(SEARCH("군웅", F31))), IF(ISNUMBER(SEARCH('성장 시뮬레이터'!$C$10, F31)), "O", "X"), "O")</f>
        <v>O</v>
      </c>
      <c r="J31" s="8" t="str">
        <f>IF(
    AND(
        H31="O",
        I31="O",
        IF(ISNUMBER(SEARCH("무력+지력", F31)), ('성장 시뮬레이터'!$G$5+'성장 시뮬레이터'!$G$6) &gt;= G31,
           IF(ISNUMBER(SEARCH("무력", F31)), '성장 시뮬레이터'!$G$5 &gt;= G31,
           IF(ISNUMBER(SEARCH("지력", F31)), '성장 시뮬레이터'!$G$6 &gt;= G31,
           IF(ISNUMBER(SEARCH("내력", F31)), '성장 시뮬레이터'!$G$7 &gt;= G31,
           IF(ISNUMBER(SEARCH("체력", F31)), '성장 시뮬레이터'!$G$8 &gt;= G31, FALSE)))))
    ), "O", "X")</f>
        <v>O</v>
      </c>
      <c r="K31" s="106" t="str">
        <f>IF(
    AND(
        H31="O",
        I31="O",
        IF(ISNUMBER(SEARCH("무력+지력", F31)), ('성장 시뮬레이터'!$I$5+'성장 시뮬레이터'!$I$6) &gt;= G31,
           IF(ISNUMBER(SEARCH("무력", F31)), '성장 시뮬레이터'!$I$5 &gt;= G31,
           IF(ISNUMBER(SEARCH("지력", F31)), '성장 시뮬레이터'!$I$6 &gt;= G31,
           IF(ISNUMBER(SEARCH("내력", F31)), '성장 시뮬레이터'!$I$7 &gt;= G31,
           IF(ISNUMBER(SEARCH("체력", F31)), '성장 시뮬레이터'!$I$8 &gt;= G31, FALSE)))))
    ), "O", "X")</f>
        <v>O</v>
      </c>
      <c r="L31" s="106" t="str">
        <f>IF(
    AND(
        H31="O",
        I31="O",
        IF(ISNUMBER(SEARCH("무력+지력", F31)), ('성장 시뮬레이터'!$K$5+'성장 시뮬레이터'!$K$6) &gt;= G31,
           IF(ISNUMBER(SEARCH("무력", F31)), '성장 시뮬레이터'!$K$5 &gt;= G31,
           IF(ISNUMBER(SEARCH("지력", F31)), '성장 시뮬레이터'!$K$6 &gt;= G31,
           IF(ISNUMBER(SEARCH("내력", F31)), '성장 시뮬레이터'!$K$7 &gt;= G31,
           IF(ISNUMBER(SEARCH("체력", F31)), '성장 시뮬레이터'!$K$8 &gt;= G31, FALSE)))))
    ), "O", "X")</f>
        <v>O</v>
      </c>
      <c r="M31" s="106" t="str">
        <f>IF(
    AND(
        H31="O",
        I31="O",
        IF(ISNUMBER(SEARCH("무력+지력", F31)), ('성장 시뮬레이터'!$M$5+'성장 시뮬레이터'!$M$6) &gt;= G31,
           IF(ISNUMBER(SEARCH("무력", F31)), '성장 시뮬레이터'!$M$5 &gt;= G31,
           IF(ISNUMBER(SEARCH("지력", F31)), '성장 시뮬레이터'!$M$6 &gt;= G31,
           IF(ISNUMBER(SEARCH("내력", F31)), '성장 시뮬레이터'!$M$7 &gt;= G31,
           IF(ISNUMBER(SEARCH("체력", F31)), '성장 시뮬레이터'!$M$8 &gt;= G31, FALSE)))))
    ), "O", "X")</f>
        <v>O</v>
      </c>
      <c r="N31" s="106" t="str">
        <f>IF(
    AND(
        H31="O",
        I31="O",
        IF(ISNUMBER(SEARCH("무력+지력", F31)), ('성장 시뮬레이터'!$O$5+'성장 시뮬레이터'!$O$6) &gt;= G31,
           IF(ISNUMBER(SEARCH("무력", F31)), '성장 시뮬레이터'!$O$5 &gt;= G31,
           IF(ISNUMBER(SEARCH("지력", F31)), '성장 시뮬레이터'!$O$6 &gt;= G31,
           IF(ISNUMBER(SEARCH("내력", F31)), '성장 시뮬레이터'!$O$7 &gt;= G31,
           IF(ISNUMBER(SEARCH("체력", F31)), '성장 시뮬레이터'!$O$8 &gt;= G31, FALSE)))))
    ), "O", "X")</f>
        <v>O</v>
      </c>
      <c r="O31" s="106" t="str">
        <f>IF(
    AND(
        H31="O",
        I31="O",
        IF(ISNUMBER(SEARCH("무력+지력", F31)), ('성장 시뮬레이터'!$Q$5+'성장 시뮬레이터'!$Q$6) &gt;= G31,
           IF(ISNUMBER(SEARCH("무력", F31)), '성장 시뮬레이터'!$Q$5 &gt;= G31,
           IF(ISNUMBER(SEARCH("지력", F31)), '성장 시뮬레이터'!$Q$6 &gt;= G31,
           IF(ISNUMBER(SEARCH("내력", F31)), '성장 시뮬레이터'!$Q$7 &gt;= G31,
           IF(ISNUMBER(SEARCH("체력", F31)), '성장 시뮬레이터'!$Q$8 &gt;= G31, FALSE)))))
    ), "O", "X")</f>
        <v>O</v>
      </c>
      <c r="P31" s="106" t="s">
        <v>904</v>
      </c>
      <c r="Q31" s="142" t="str">
        <f t="shared" si="0"/>
        <v/>
      </c>
      <c r="R31" s="142">
        <f t="shared" si="1"/>
        <v>260</v>
      </c>
      <c r="S31" s="142" t="str">
        <f t="shared" si="2"/>
        <v/>
      </c>
      <c r="T31" s="142">
        <f t="shared" si="3"/>
        <v>130</v>
      </c>
      <c r="U31" s="142" t="str">
        <f t="shared" si="4"/>
        <v/>
      </c>
      <c r="V31" s="142" t="str">
        <f t="shared" si="5"/>
        <v/>
      </c>
      <c r="W31" s="142" t="str">
        <f t="shared" si="6"/>
        <v/>
      </c>
      <c r="X31" s="142" t="str">
        <f t="shared" si="7"/>
        <v/>
      </c>
      <c r="Y31" s="142" t="str">
        <f t="shared" si="8"/>
        <v/>
      </c>
      <c r="Z31" s="142" t="str">
        <f t="shared" si="9"/>
        <v/>
      </c>
      <c r="AA31" s="9" t="s">
        <v>68</v>
      </c>
      <c r="AB31" s="11"/>
      <c r="AC31" s="11"/>
      <c r="AD31" s="11"/>
      <c r="AE31" s="12"/>
      <c r="AF31" s="144" t="s">
        <v>69</v>
      </c>
      <c r="AH31" s="8"/>
      <c r="AI31" s="8">
        <v>40</v>
      </c>
      <c r="AJ31" s="8"/>
      <c r="AK31" s="8">
        <v>20</v>
      </c>
      <c r="AL31" s="8"/>
      <c r="AM31" s="8"/>
      <c r="AN31" s="8"/>
      <c r="AO31" s="8"/>
      <c r="AP31" s="8"/>
      <c r="AQ31" s="8"/>
      <c r="AR31" s="103">
        <v>1.5</v>
      </c>
      <c r="AS31" s="8" t="str">
        <f>IF(OR(표1_3[[#This Row],[등급]]="명서",(표1_3[[#This Row],[등급]]="고급")),IF(AH31="","",AH31*$AR31),"")</f>
        <v/>
      </c>
      <c r="AT31" s="8">
        <f>IF(OR(표1_3[[#This Row],[등급]]="명서",(표1_3[[#This Row],[등급]]="고급")),IF(AI31="","",AI31*$AR31),"")</f>
        <v>60</v>
      </c>
      <c r="AU31" s="8" t="str">
        <f>IF(OR(표1_3[[#This Row],[등급]]="명서",(표1_3[[#This Row],[등급]]="고급")),IF(AJ31="","",AJ31*$AR31),"")</f>
        <v/>
      </c>
      <c r="AV31" s="8">
        <f>IF(OR(표1_3[[#This Row],[등급]]="명서",(표1_3[[#This Row],[등급]]="고급")),IF(AK31="","",AK31*$AR31),"")</f>
        <v>30</v>
      </c>
      <c r="AW31" s="8" t="str">
        <f>IF(OR(표1_3[[#This Row],[등급]]="명서",(표1_3[[#This Row],[등급]]="고급")),IF(AL31="","",AL31*$AR31),"")</f>
        <v/>
      </c>
      <c r="AX31" s="8" t="str">
        <f>IF(OR(표1_3[[#This Row],[등급]]="명서",(표1_3[[#This Row],[등급]]="고급")),IF(AM31="","",AM31*$AR31),"")</f>
        <v/>
      </c>
      <c r="AY31" s="8" t="str">
        <f>IF(OR(표1_3[[#This Row],[등급]]="명서",(표1_3[[#This Row],[등급]]="고급")),IF(AN31="","",AN31*$AR31),"")</f>
        <v/>
      </c>
      <c r="AZ31" s="8" t="str">
        <f>IF(OR(표1_3[[#This Row],[등급]]="명서",(표1_3[[#This Row],[등급]]="고급")),IF(AO31="","",AO31*$AR31),"")</f>
        <v/>
      </c>
      <c r="BA31" s="8" t="str">
        <f>IF(OR(표1_3[[#This Row],[등급]]="명서",(표1_3[[#This Row],[등급]]="고급")),IF(AP31="","",AP31*$AR31),"")</f>
        <v/>
      </c>
      <c r="BB31" s="8" t="str">
        <f>IF(OR(표1_3[[#This Row],[등급]]="명서",(표1_3[[#This Row],[등급]]="고급")),IF(AQ31="","",AQ31*$AR31),"")</f>
        <v/>
      </c>
    </row>
    <row r="32" spans="1:54" x14ac:dyDescent="0.3">
      <c r="A32" s="5" t="s">
        <v>48</v>
      </c>
      <c r="B32" s="6" t="s">
        <v>12</v>
      </c>
      <c r="C32" s="203" t="s">
        <v>799</v>
      </c>
      <c r="D32" s="7" t="s">
        <v>213</v>
      </c>
      <c r="E32" s="7">
        <f t="array" ref="E32">INDEX(표1[내 책 등급], MATCH(1, (표1[사용자] ='성장 시뮬레이터'!$B$1) * (표1[책이름] = D32), 0))</f>
        <v>9</v>
      </c>
      <c r="F32" s="8" t="s">
        <v>18</v>
      </c>
      <c r="G32" s="142">
        <v>180</v>
      </c>
      <c r="H32" s="8" t="str">
        <f>IF(ISNUMBER(SEARCH("여", F32)), IF('성장 시뮬레이터'!$C$9=2, "O", "X"), "O")</f>
        <v>O</v>
      </c>
      <c r="I32" s="8" t="str">
        <f>IF(OR(ISNUMBER(SEARCH("위나라", F32)), ISNUMBER(SEARCH("촉나라", F32)), ISNUMBER(SEARCH("오나라", F32)), ISNUMBER(SEARCH("군웅", F32))), IF(ISNUMBER(SEARCH('성장 시뮬레이터'!$C$10, F32)), "O", "X"), "O")</f>
        <v>O</v>
      </c>
      <c r="J32" s="8" t="str">
        <f>IF(
    AND(
        H32="O",
        I32="O",
        IF(ISNUMBER(SEARCH("무력+지력", F32)), ('성장 시뮬레이터'!$G$5+'성장 시뮬레이터'!$G$6) &gt;= G32,
           IF(ISNUMBER(SEARCH("무력", F32)), '성장 시뮬레이터'!$G$5 &gt;= G32,
           IF(ISNUMBER(SEARCH("지력", F32)), '성장 시뮬레이터'!$G$6 &gt;= G32,
           IF(ISNUMBER(SEARCH("내력", F32)), '성장 시뮬레이터'!$G$7 &gt;= G32,
           IF(ISNUMBER(SEARCH("체력", F32)), '성장 시뮬레이터'!$G$8 &gt;= G32, FALSE)))))
    ), "O", "X")</f>
        <v>O</v>
      </c>
      <c r="K32" s="106" t="str">
        <f>IF(
    AND(
        H32="O",
        I32="O",
        IF(ISNUMBER(SEARCH("무력+지력", F32)), ('성장 시뮬레이터'!$I$5+'성장 시뮬레이터'!$I$6) &gt;= G32,
           IF(ISNUMBER(SEARCH("무력", F32)), '성장 시뮬레이터'!$I$5 &gt;= G32,
           IF(ISNUMBER(SEARCH("지력", F32)), '성장 시뮬레이터'!$I$6 &gt;= G32,
           IF(ISNUMBER(SEARCH("내력", F32)), '성장 시뮬레이터'!$I$7 &gt;= G32,
           IF(ISNUMBER(SEARCH("체력", F32)), '성장 시뮬레이터'!$I$8 &gt;= G32, FALSE)))))
    ), "O", "X")</f>
        <v>O</v>
      </c>
      <c r="L32" s="106" t="str">
        <f>IF(
    AND(
        H32="O",
        I32="O",
        IF(ISNUMBER(SEARCH("무력+지력", F32)), ('성장 시뮬레이터'!$K$5+'성장 시뮬레이터'!$K$6) &gt;= G32,
           IF(ISNUMBER(SEARCH("무력", F32)), '성장 시뮬레이터'!$K$5 &gt;= G32,
           IF(ISNUMBER(SEARCH("지력", F32)), '성장 시뮬레이터'!$K$6 &gt;= G32,
           IF(ISNUMBER(SEARCH("내력", F32)), '성장 시뮬레이터'!$K$7 &gt;= G32,
           IF(ISNUMBER(SEARCH("체력", F32)), '성장 시뮬레이터'!$K$8 &gt;= G32, FALSE)))))
    ), "O", "X")</f>
        <v>O</v>
      </c>
      <c r="M32" s="106" t="str">
        <f>IF(
    AND(
        H32="O",
        I32="O",
        IF(ISNUMBER(SEARCH("무력+지력", F32)), ('성장 시뮬레이터'!$M$5+'성장 시뮬레이터'!$M$6) &gt;= G32,
           IF(ISNUMBER(SEARCH("무력", F32)), '성장 시뮬레이터'!$M$5 &gt;= G32,
           IF(ISNUMBER(SEARCH("지력", F32)), '성장 시뮬레이터'!$M$6 &gt;= G32,
           IF(ISNUMBER(SEARCH("내력", F32)), '성장 시뮬레이터'!$M$7 &gt;= G32,
           IF(ISNUMBER(SEARCH("체력", F32)), '성장 시뮬레이터'!$M$8 &gt;= G32, FALSE)))))
    ), "O", "X")</f>
        <v>O</v>
      </c>
      <c r="N32" s="106" t="str">
        <f>IF(
    AND(
        H32="O",
        I32="O",
        IF(ISNUMBER(SEARCH("무력+지력", F32)), ('성장 시뮬레이터'!$O$5+'성장 시뮬레이터'!$O$6) &gt;= G32,
           IF(ISNUMBER(SEARCH("무력", F32)), '성장 시뮬레이터'!$O$5 &gt;= G32,
           IF(ISNUMBER(SEARCH("지력", F32)), '성장 시뮬레이터'!$O$6 &gt;= G32,
           IF(ISNUMBER(SEARCH("내력", F32)), '성장 시뮬레이터'!$O$7 &gt;= G32,
           IF(ISNUMBER(SEARCH("체력", F32)), '성장 시뮬레이터'!$O$8 &gt;= G32, FALSE)))))
    ), "O", "X")</f>
        <v>O</v>
      </c>
      <c r="O32" s="106" t="str">
        <f>IF(
    AND(
        H32="O",
        I32="O",
        IF(ISNUMBER(SEARCH("무력+지력", F32)), ('성장 시뮬레이터'!$Q$5+'성장 시뮬레이터'!$Q$6) &gt;= G32,
           IF(ISNUMBER(SEARCH("무력", F32)), '성장 시뮬레이터'!$Q$5 &gt;= G32,
           IF(ISNUMBER(SEARCH("지력", F32)), '성장 시뮬레이터'!$Q$6 &gt;= G32,
           IF(ISNUMBER(SEARCH("내력", F32)), '성장 시뮬레이터'!$Q$7 &gt;= G32,
           IF(ISNUMBER(SEARCH("체력", F32)), '성장 시뮬레이터'!$Q$8 &gt;= G32, FALSE)))))
    ), "O", "X")</f>
        <v>O</v>
      </c>
      <c r="P32" s="106" t="s">
        <v>904</v>
      </c>
      <c r="Q32" s="142" t="str">
        <f t="shared" si="0"/>
        <v/>
      </c>
      <c r="R32" s="142">
        <f t="shared" si="1"/>
        <v>100</v>
      </c>
      <c r="S32" s="142">
        <f t="shared" si="2"/>
        <v>200</v>
      </c>
      <c r="T32" s="142" t="str">
        <f t="shared" si="3"/>
        <v/>
      </c>
      <c r="U32" s="142" t="str">
        <f t="shared" si="4"/>
        <v/>
      </c>
      <c r="V32" s="142" t="str">
        <f t="shared" si="5"/>
        <v/>
      </c>
      <c r="W32" s="142" t="str">
        <f t="shared" si="6"/>
        <v/>
      </c>
      <c r="X32" s="142" t="str">
        <f t="shared" si="7"/>
        <v/>
      </c>
      <c r="Y32" s="142" t="str">
        <f t="shared" si="8"/>
        <v/>
      </c>
      <c r="Z32" s="142">
        <f t="shared" si="9"/>
        <v>100</v>
      </c>
      <c r="AA32" s="11" t="s">
        <v>70</v>
      </c>
      <c r="AB32" s="11"/>
      <c r="AC32" s="11"/>
      <c r="AD32" s="11"/>
      <c r="AE32" s="12"/>
      <c r="AF32" s="144" t="s">
        <v>71</v>
      </c>
      <c r="AH32" s="8"/>
      <c r="AI32" s="8">
        <v>20</v>
      </c>
      <c r="AJ32" s="8">
        <v>40</v>
      </c>
      <c r="AK32" s="8"/>
      <c r="AL32" s="8"/>
      <c r="AM32" s="8"/>
      <c r="AN32" s="8"/>
      <c r="AO32" s="8"/>
      <c r="AP32" s="8"/>
      <c r="AQ32" s="8">
        <v>20</v>
      </c>
      <c r="AR32" s="103">
        <v>1.5</v>
      </c>
      <c r="AS32" s="8" t="str">
        <f>IF(OR(표1_3[[#This Row],[등급]]="명서",(표1_3[[#This Row],[등급]]="고급")),IF(AH32="","",AH32*$AR32),"")</f>
        <v/>
      </c>
      <c r="AT32" s="8">
        <f>IF(OR(표1_3[[#This Row],[등급]]="명서",(표1_3[[#This Row],[등급]]="고급")),IF(AI32="","",AI32*$AR32),"")</f>
        <v>30</v>
      </c>
      <c r="AU32" s="8">
        <f>IF(OR(표1_3[[#This Row],[등급]]="명서",(표1_3[[#This Row],[등급]]="고급")),IF(AJ32="","",AJ32*$AR32),"")</f>
        <v>60</v>
      </c>
      <c r="AV32" s="8" t="str">
        <f>IF(OR(표1_3[[#This Row],[등급]]="명서",(표1_3[[#This Row],[등급]]="고급")),IF(AK32="","",AK32*$AR32),"")</f>
        <v/>
      </c>
      <c r="AW32" s="8" t="str">
        <f>IF(OR(표1_3[[#This Row],[등급]]="명서",(표1_3[[#This Row],[등급]]="고급")),IF(AL32="","",AL32*$AR32),"")</f>
        <v/>
      </c>
      <c r="AX32" s="8" t="str">
        <f>IF(OR(표1_3[[#This Row],[등급]]="명서",(표1_3[[#This Row],[등급]]="고급")),IF(AM32="","",AM32*$AR32),"")</f>
        <v/>
      </c>
      <c r="AY32" s="8" t="str">
        <f>IF(OR(표1_3[[#This Row],[등급]]="명서",(표1_3[[#This Row],[등급]]="고급")),IF(AN32="","",AN32*$AR32),"")</f>
        <v/>
      </c>
      <c r="AZ32" s="8" t="str">
        <f>IF(OR(표1_3[[#This Row],[등급]]="명서",(표1_3[[#This Row],[등급]]="고급")),IF(AO32="","",AO32*$AR32),"")</f>
        <v/>
      </c>
      <c r="BA32" s="8" t="str">
        <f>IF(OR(표1_3[[#This Row],[등급]]="명서",(표1_3[[#This Row],[등급]]="고급")),IF(AP32="","",AP32*$AR32),"")</f>
        <v/>
      </c>
      <c r="BB32" s="8">
        <f>IF(OR(표1_3[[#This Row],[등급]]="명서",(표1_3[[#This Row],[등급]]="고급")),IF(AQ32="","",AQ32*$AR32),"")</f>
        <v>30</v>
      </c>
    </row>
    <row r="33" spans="1:54" x14ac:dyDescent="0.3">
      <c r="A33" s="5" t="s">
        <v>48</v>
      </c>
      <c r="B33" s="6" t="s">
        <v>12</v>
      </c>
      <c r="C33" s="6" t="s">
        <v>798</v>
      </c>
      <c r="D33" s="7" t="s">
        <v>72</v>
      </c>
      <c r="E33" s="7">
        <f t="array" ref="E33">INDEX(표1[내 책 등급], MATCH(1, (표1[사용자] ='성장 시뮬레이터'!$B$1) * (표1[책이름] = D33), 0))</f>
        <v>9</v>
      </c>
      <c r="F33" s="8" t="s">
        <v>30</v>
      </c>
      <c r="G33" s="142">
        <v>125</v>
      </c>
      <c r="H33" s="8" t="str">
        <f>IF(ISNUMBER(SEARCH("여", F33)), IF('성장 시뮬레이터'!$C$9=2, "O", "X"), "O")</f>
        <v>O</v>
      </c>
      <c r="I33" s="8" t="str">
        <f>IF(OR(ISNUMBER(SEARCH("위나라", F33)), ISNUMBER(SEARCH("촉나라", F33)), ISNUMBER(SEARCH("오나라", F33)), ISNUMBER(SEARCH("군웅", F33))), IF(ISNUMBER(SEARCH('성장 시뮬레이터'!$C$10, F33)), "O", "X"), "O")</f>
        <v>O</v>
      </c>
      <c r="J33" s="8" t="str">
        <f>IF(
    AND(
        H33="O",
        I33="O",
        IF(ISNUMBER(SEARCH("무력+지력", F33)), ('성장 시뮬레이터'!$G$5+'성장 시뮬레이터'!$G$6) &gt;= G33,
           IF(ISNUMBER(SEARCH("무력", F33)), '성장 시뮬레이터'!$G$5 &gt;= G33,
           IF(ISNUMBER(SEARCH("지력", F33)), '성장 시뮬레이터'!$G$6 &gt;= G33,
           IF(ISNUMBER(SEARCH("내력", F33)), '성장 시뮬레이터'!$G$7 &gt;= G33,
           IF(ISNUMBER(SEARCH("체력", F33)), '성장 시뮬레이터'!$G$8 &gt;= G33, FALSE)))))
    ), "O", "X")</f>
        <v>X</v>
      </c>
      <c r="K33" s="106" t="str">
        <f>IF(
    AND(
        H33="O",
        I33="O",
        IF(ISNUMBER(SEARCH("무력+지력", F33)), ('성장 시뮬레이터'!$I$5+'성장 시뮬레이터'!$I$6) &gt;= G33,
           IF(ISNUMBER(SEARCH("무력", F33)), '성장 시뮬레이터'!$I$5 &gt;= G33,
           IF(ISNUMBER(SEARCH("지력", F33)), '성장 시뮬레이터'!$I$6 &gt;= G33,
           IF(ISNUMBER(SEARCH("내력", F33)), '성장 시뮬레이터'!$I$7 &gt;= G33,
           IF(ISNUMBER(SEARCH("체력", F33)), '성장 시뮬레이터'!$I$8 &gt;= G33, FALSE)))))
    ), "O", "X")</f>
        <v>O</v>
      </c>
      <c r="L33" s="106" t="str">
        <f>IF(
    AND(
        H33="O",
        I33="O",
        IF(ISNUMBER(SEARCH("무력+지력", F33)), ('성장 시뮬레이터'!$K$5+'성장 시뮬레이터'!$K$6) &gt;= G33,
           IF(ISNUMBER(SEARCH("무력", F33)), '성장 시뮬레이터'!$K$5 &gt;= G33,
           IF(ISNUMBER(SEARCH("지력", F33)), '성장 시뮬레이터'!$K$6 &gt;= G33,
           IF(ISNUMBER(SEARCH("내력", F33)), '성장 시뮬레이터'!$K$7 &gt;= G33,
           IF(ISNUMBER(SEARCH("체력", F33)), '성장 시뮬레이터'!$K$8 &gt;= G33, FALSE)))))
    ), "O", "X")</f>
        <v>O</v>
      </c>
      <c r="M33" s="106" t="str">
        <f>IF(
    AND(
        H33="O",
        I33="O",
        IF(ISNUMBER(SEARCH("무력+지력", F33)), ('성장 시뮬레이터'!$M$5+'성장 시뮬레이터'!$M$6) &gt;= G33,
           IF(ISNUMBER(SEARCH("무력", F33)), '성장 시뮬레이터'!$M$5 &gt;= G33,
           IF(ISNUMBER(SEARCH("지력", F33)), '성장 시뮬레이터'!$M$6 &gt;= G33,
           IF(ISNUMBER(SEARCH("내력", F33)), '성장 시뮬레이터'!$M$7 &gt;= G33,
           IF(ISNUMBER(SEARCH("체력", F33)), '성장 시뮬레이터'!$M$8 &gt;= G33, FALSE)))))
    ), "O", "X")</f>
        <v>O</v>
      </c>
      <c r="N33" s="106" t="str">
        <f>IF(
    AND(
        H33="O",
        I33="O",
        IF(ISNUMBER(SEARCH("무력+지력", F33)), ('성장 시뮬레이터'!$O$5+'성장 시뮬레이터'!$O$6) &gt;= G33,
           IF(ISNUMBER(SEARCH("무력", F33)), '성장 시뮬레이터'!$O$5 &gt;= G33,
           IF(ISNUMBER(SEARCH("지력", F33)), '성장 시뮬레이터'!$O$6 &gt;= G33,
           IF(ISNUMBER(SEARCH("내력", F33)), '성장 시뮬레이터'!$O$7 &gt;= G33,
           IF(ISNUMBER(SEARCH("체력", F33)), '성장 시뮬레이터'!$O$8 &gt;= G33, FALSE)))))
    ), "O", "X")</f>
        <v>O</v>
      </c>
      <c r="O33" s="106" t="str">
        <f>IF(
    AND(
        H33="O",
        I33="O",
        IF(ISNUMBER(SEARCH("무력+지력", F33)), ('성장 시뮬레이터'!$Q$5+'성장 시뮬레이터'!$Q$6) &gt;= G33,
           IF(ISNUMBER(SEARCH("무력", F33)), '성장 시뮬레이터'!$Q$5 &gt;= G33,
           IF(ISNUMBER(SEARCH("지력", F33)), '성장 시뮬레이터'!$Q$6 &gt;= G33,
           IF(ISNUMBER(SEARCH("내력", F33)), '성장 시뮬레이터'!$Q$7 &gt;= G33,
           IF(ISNUMBER(SEARCH("체력", F33)), '성장 시뮬레이터'!$Q$8 &gt;= G33, FALSE)))))
    ), "O", "X")</f>
        <v>O</v>
      </c>
      <c r="P33" s="106" t="s">
        <v>904</v>
      </c>
      <c r="Q33" s="142" t="str">
        <f t="shared" si="0"/>
        <v/>
      </c>
      <c r="R33" s="142">
        <f t="shared" si="1"/>
        <v>100</v>
      </c>
      <c r="S33" s="142">
        <f t="shared" si="2"/>
        <v>200</v>
      </c>
      <c r="T33" s="142" t="str">
        <f t="shared" si="3"/>
        <v/>
      </c>
      <c r="U33" s="142" t="str">
        <f t="shared" si="4"/>
        <v/>
      </c>
      <c r="V33" s="142" t="str">
        <f t="shared" si="5"/>
        <v/>
      </c>
      <c r="W33" s="142" t="str">
        <f t="shared" si="6"/>
        <v/>
      </c>
      <c r="X33" s="142" t="str">
        <f t="shared" si="7"/>
        <v/>
      </c>
      <c r="Y33" s="142" t="str">
        <f t="shared" si="8"/>
        <v/>
      </c>
      <c r="Z33" s="142">
        <f t="shared" si="9"/>
        <v>100</v>
      </c>
      <c r="AA33" s="11" t="s">
        <v>70</v>
      </c>
      <c r="AB33" s="11"/>
      <c r="AC33" s="11"/>
      <c r="AD33" s="11"/>
      <c r="AE33" s="12"/>
      <c r="AF33" s="144" t="s">
        <v>71</v>
      </c>
      <c r="AH33" s="8"/>
      <c r="AI33" s="8">
        <v>20</v>
      </c>
      <c r="AJ33" s="8">
        <v>40</v>
      </c>
      <c r="AK33" s="8"/>
      <c r="AL33" s="8"/>
      <c r="AM33" s="8"/>
      <c r="AN33" s="8"/>
      <c r="AO33" s="8"/>
      <c r="AP33" s="8"/>
      <c r="AQ33" s="8">
        <v>20</v>
      </c>
      <c r="AR33" s="103">
        <v>1.5</v>
      </c>
      <c r="AS33" s="8" t="str">
        <f>IF(OR(표1_3[[#This Row],[등급]]="명서",(표1_3[[#This Row],[등급]]="고급")),IF(AH33="","",AH33*$AR33),"")</f>
        <v/>
      </c>
      <c r="AT33" s="8">
        <f>IF(OR(표1_3[[#This Row],[등급]]="명서",(표1_3[[#This Row],[등급]]="고급")),IF(AI33="","",AI33*$AR33),"")</f>
        <v>30</v>
      </c>
      <c r="AU33" s="8">
        <f>IF(OR(표1_3[[#This Row],[등급]]="명서",(표1_3[[#This Row],[등급]]="고급")),IF(AJ33="","",AJ33*$AR33),"")</f>
        <v>60</v>
      </c>
      <c r="AV33" s="8" t="str">
        <f>IF(OR(표1_3[[#This Row],[등급]]="명서",(표1_3[[#This Row],[등급]]="고급")),IF(AK33="","",AK33*$AR33),"")</f>
        <v/>
      </c>
      <c r="AW33" s="8" t="str">
        <f>IF(OR(표1_3[[#This Row],[등급]]="명서",(표1_3[[#This Row],[등급]]="고급")),IF(AL33="","",AL33*$AR33),"")</f>
        <v/>
      </c>
      <c r="AX33" s="8" t="str">
        <f>IF(OR(표1_3[[#This Row],[등급]]="명서",(표1_3[[#This Row],[등급]]="고급")),IF(AM33="","",AM33*$AR33),"")</f>
        <v/>
      </c>
      <c r="AY33" s="8" t="str">
        <f>IF(OR(표1_3[[#This Row],[등급]]="명서",(표1_3[[#This Row],[등급]]="고급")),IF(AN33="","",AN33*$AR33),"")</f>
        <v/>
      </c>
      <c r="AZ33" s="8" t="str">
        <f>IF(OR(표1_3[[#This Row],[등급]]="명서",(표1_3[[#This Row],[등급]]="고급")),IF(AO33="","",AO33*$AR33),"")</f>
        <v/>
      </c>
      <c r="BA33" s="8" t="str">
        <f>IF(OR(표1_3[[#This Row],[등급]]="명서",(표1_3[[#This Row],[등급]]="고급")),IF(AP33="","",AP33*$AR33),"")</f>
        <v/>
      </c>
      <c r="BB33" s="8">
        <f>IF(OR(표1_3[[#This Row],[등급]]="명서",(표1_3[[#This Row],[등급]]="고급")),IF(AQ33="","",AQ33*$AR33),"")</f>
        <v>30</v>
      </c>
    </row>
    <row r="34" spans="1:54" x14ac:dyDescent="0.3">
      <c r="A34" s="5" t="s">
        <v>48</v>
      </c>
      <c r="B34" s="6" t="s">
        <v>12</v>
      </c>
      <c r="C34" s="6" t="s">
        <v>798</v>
      </c>
      <c r="D34" s="7" t="s">
        <v>73</v>
      </c>
      <c r="E34" s="7">
        <f t="array" ref="E34">INDEX(표1[내 책 등급], MATCH(1, (표1[사용자] ='성장 시뮬레이터'!$B$1) * (표1[책이름] = D34), 0))</f>
        <v>10</v>
      </c>
      <c r="F34" s="8" t="s">
        <v>21</v>
      </c>
      <c r="G34" s="142">
        <v>95</v>
      </c>
      <c r="H34" s="8" t="str">
        <f>IF(ISNUMBER(SEARCH("여", F34)), IF('성장 시뮬레이터'!$C$9=2, "O", "X"), "O")</f>
        <v>O</v>
      </c>
      <c r="I34" s="8" t="str">
        <f>IF(OR(ISNUMBER(SEARCH("위나라", F34)), ISNUMBER(SEARCH("촉나라", F34)), ISNUMBER(SEARCH("오나라", F34)), ISNUMBER(SEARCH("군웅", F34))), IF(ISNUMBER(SEARCH('성장 시뮬레이터'!$C$10, F34)), "O", "X"), "O")</f>
        <v>O</v>
      </c>
      <c r="J34" s="8" t="str">
        <f>IF(
    AND(
        H34="O",
        I34="O",
        IF(ISNUMBER(SEARCH("무력+지력", F34)), ('성장 시뮬레이터'!$G$5+'성장 시뮬레이터'!$G$6) &gt;= G34,
           IF(ISNUMBER(SEARCH("무력", F34)), '성장 시뮬레이터'!$G$5 &gt;= G34,
           IF(ISNUMBER(SEARCH("지력", F34)), '성장 시뮬레이터'!$G$6 &gt;= G34,
           IF(ISNUMBER(SEARCH("내력", F34)), '성장 시뮬레이터'!$G$7 &gt;= G34,
           IF(ISNUMBER(SEARCH("체력", F34)), '성장 시뮬레이터'!$G$8 &gt;= G34, FALSE)))))
    ), "O", "X")</f>
        <v>X</v>
      </c>
      <c r="K34" s="106" t="str">
        <f>IF(
    AND(
        H34="O",
        I34="O",
        IF(ISNUMBER(SEARCH("무력+지력", F34)), ('성장 시뮬레이터'!$I$5+'성장 시뮬레이터'!$I$6) &gt;= G34,
           IF(ISNUMBER(SEARCH("무력", F34)), '성장 시뮬레이터'!$I$5 &gt;= G34,
           IF(ISNUMBER(SEARCH("지력", F34)), '성장 시뮬레이터'!$I$6 &gt;= G34,
           IF(ISNUMBER(SEARCH("내력", F34)), '성장 시뮬레이터'!$I$7 &gt;= G34,
           IF(ISNUMBER(SEARCH("체력", F34)), '성장 시뮬레이터'!$I$8 &gt;= G34, FALSE)))))
    ), "O", "X")</f>
        <v>X</v>
      </c>
      <c r="L34" s="106" t="str">
        <f>IF(
    AND(
        H34="O",
        I34="O",
        IF(ISNUMBER(SEARCH("무력+지력", F34)), ('성장 시뮬레이터'!$K$5+'성장 시뮬레이터'!$K$6) &gt;= G34,
           IF(ISNUMBER(SEARCH("무력", F34)), '성장 시뮬레이터'!$K$5 &gt;= G34,
           IF(ISNUMBER(SEARCH("지력", F34)), '성장 시뮬레이터'!$K$6 &gt;= G34,
           IF(ISNUMBER(SEARCH("내력", F34)), '성장 시뮬레이터'!$K$7 &gt;= G34,
           IF(ISNUMBER(SEARCH("체력", F34)), '성장 시뮬레이터'!$K$8 &gt;= G34, FALSE)))))
    ), "O", "X")</f>
        <v>X</v>
      </c>
      <c r="M34" s="106" t="str">
        <f>IF(
    AND(
        H34="O",
        I34="O",
        IF(ISNUMBER(SEARCH("무력+지력", F34)), ('성장 시뮬레이터'!$M$5+'성장 시뮬레이터'!$M$6) &gt;= G34,
           IF(ISNUMBER(SEARCH("무력", F34)), '성장 시뮬레이터'!$M$5 &gt;= G34,
           IF(ISNUMBER(SEARCH("지력", F34)), '성장 시뮬레이터'!$M$6 &gt;= G34,
           IF(ISNUMBER(SEARCH("내력", F34)), '성장 시뮬레이터'!$M$7 &gt;= G34,
           IF(ISNUMBER(SEARCH("체력", F34)), '성장 시뮬레이터'!$M$8 &gt;= G34, FALSE)))))
    ), "O", "X")</f>
        <v>X</v>
      </c>
      <c r="N34" s="106" t="str">
        <f>IF(
    AND(
        H34="O",
        I34="O",
        IF(ISNUMBER(SEARCH("무력+지력", F34)), ('성장 시뮬레이터'!$O$5+'성장 시뮬레이터'!$O$6) &gt;= G34,
           IF(ISNUMBER(SEARCH("무력", F34)), '성장 시뮬레이터'!$O$5 &gt;= G34,
           IF(ISNUMBER(SEARCH("지력", F34)), '성장 시뮬레이터'!$O$6 &gt;= G34,
           IF(ISNUMBER(SEARCH("내력", F34)), '성장 시뮬레이터'!$O$7 &gt;= G34,
           IF(ISNUMBER(SEARCH("체력", F34)), '성장 시뮬레이터'!$O$8 &gt;= G34, FALSE)))))
    ), "O", "X")</f>
        <v>X</v>
      </c>
      <c r="O34" s="106" t="str">
        <f>IF(
    AND(
        H34="O",
        I34="O",
        IF(ISNUMBER(SEARCH("무력+지력", F34)), ('성장 시뮬레이터'!$Q$5+'성장 시뮬레이터'!$Q$6) &gt;= G34,
           IF(ISNUMBER(SEARCH("무력", F34)), '성장 시뮬레이터'!$Q$5 &gt;= G34,
           IF(ISNUMBER(SEARCH("지력", F34)), '성장 시뮬레이터'!$Q$6 &gt;= G34,
           IF(ISNUMBER(SEARCH("내력", F34)), '성장 시뮬레이터'!$Q$7 &gt;= G34,
           IF(ISNUMBER(SEARCH("체력", F34)), '성장 시뮬레이터'!$Q$8 &gt;= G34, FALSE)))))
    ), "O", "X")</f>
        <v>X</v>
      </c>
      <c r="P34" s="106" t="s">
        <v>905</v>
      </c>
      <c r="Q34" s="142" t="str">
        <f t="shared" si="0"/>
        <v/>
      </c>
      <c r="R34" s="142">
        <f t="shared" si="1"/>
        <v>260</v>
      </c>
      <c r="S34" s="142" t="str">
        <f t="shared" si="2"/>
        <v/>
      </c>
      <c r="T34" s="142">
        <f t="shared" si="3"/>
        <v>130</v>
      </c>
      <c r="U34" s="142" t="str">
        <f t="shared" si="4"/>
        <v/>
      </c>
      <c r="V34" s="142" t="str">
        <f t="shared" si="5"/>
        <v/>
      </c>
      <c r="W34" s="142" t="str">
        <f t="shared" si="6"/>
        <v/>
      </c>
      <c r="X34" s="142" t="str">
        <f t="shared" si="7"/>
        <v/>
      </c>
      <c r="Y34" s="142" t="str">
        <f t="shared" si="8"/>
        <v/>
      </c>
      <c r="Z34" s="142" t="str">
        <f t="shared" si="9"/>
        <v/>
      </c>
      <c r="AA34" s="9" t="s">
        <v>68</v>
      </c>
      <c r="AB34" s="11"/>
      <c r="AC34" s="11"/>
      <c r="AD34" s="11"/>
      <c r="AE34" s="12"/>
      <c r="AF34" s="144" t="s">
        <v>69</v>
      </c>
      <c r="AH34" s="8"/>
      <c r="AI34" s="8">
        <v>40</v>
      </c>
      <c r="AJ34" s="8"/>
      <c r="AK34" s="8">
        <v>20</v>
      </c>
      <c r="AL34" s="8"/>
      <c r="AM34" s="8"/>
      <c r="AN34" s="8"/>
      <c r="AO34" s="8"/>
      <c r="AP34" s="8"/>
      <c r="AQ34" s="8"/>
      <c r="AR34" s="103">
        <v>1.5</v>
      </c>
      <c r="AS34" s="8" t="str">
        <f>IF(OR(표1_3[[#This Row],[등급]]="명서",(표1_3[[#This Row],[등급]]="고급")),IF(AH34="","",AH34*$AR34),"")</f>
        <v/>
      </c>
      <c r="AT34" s="8">
        <f>IF(OR(표1_3[[#This Row],[등급]]="명서",(표1_3[[#This Row],[등급]]="고급")),IF(AI34="","",AI34*$AR34),"")</f>
        <v>60</v>
      </c>
      <c r="AU34" s="8" t="str">
        <f>IF(OR(표1_3[[#This Row],[등급]]="명서",(표1_3[[#This Row],[등급]]="고급")),IF(AJ34="","",AJ34*$AR34),"")</f>
        <v/>
      </c>
      <c r="AV34" s="8">
        <f>IF(OR(표1_3[[#This Row],[등급]]="명서",(표1_3[[#This Row],[등급]]="고급")),IF(AK34="","",AK34*$AR34),"")</f>
        <v>30</v>
      </c>
      <c r="AW34" s="8" t="str">
        <f>IF(OR(표1_3[[#This Row],[등급]]="명서",(표1_3[[#This Row],[등급]]="고급")),IF(AL34="","",AL34*$AR34),"")</f>
        <v/>
      </c>
      <c r="AX34" s="8" t="str">
        <f>IF(OR(표1_3[[#This Row],[등급]]="명서",(표1_3[[#This Row],[등급]]="고급")),IF(AM34="","",AM34*$AR34),"")</f>
        <v/>
      </c>
      <c r="AY34" s="8" t="str">
        <f>IF(OR(표1_3[[#This Row],[등급]]="명서",(표1_3[[#This Row],[등급]]="고급")),IF(AN34="","",AN34*$AR34),"")</f>
        <v/>
      </c>
      <c r="AZ34" s="8" t="str">
        <f>IF(OR(표1_3[[#This Row],[등급]]="명서",(표1_3[[#This Row],[등급]]="고급")),IF(AO34="","",AO34*$AR34),"")</f>
        <v/>
      </c>
      <c r="BA34" s="8" t="str">
        <f>IF(OR(표1_3[[#This Row],[등급]]="명서",(표1_3[[#This Row],[등급]]="고급")),IF(AP34="","",AP34*$AR34),"")</f>
        <v/>
      </c>
      <c r="BB34" s="8" t="str">
        <f>IF(OR(표1_3[[#This Row],[등급]]="명서",(표1_3[[#This Row],[등급]]="고급")),IF(AQ34="","",AQ34*$AR34),"")</f>
        <v/>
      </c>
    </row>
    <row r="35" spans="1:54" x14ac:dyDescent="0.3">
      <c r="A35" s="5" t="s">
        <v>48</v>
      </c>
      <c r="B35" s="6" t="s">
        <v>12</v>
      </c>
      <c r="C35" s="6" t="s">
        <v>797</v>
      </c>
      <c r="D35" s="105" t="s">
        <v>181</v>
      </c>
      <c r="E35" s="7">
        <f t="array" ref="E35">INDEX(표1[내 책 등급], MATCH(1, (표1[사용자] ='성장 시뮬레이터'!$B$1) * (표1[책이름] = D35), 0))</f>
        <v>9</v>
      </c>
      <c r="F35" s="106" t="s">
        <v>200</v>
      </c>
      <c r="G35" s="147">
        <v>111</v>
      </c>
      <c r="H35" s="106" t="str">
        <f>IF(ISNUMBER(SEARCH("여", F35)), IF('성장 시뮬레이터'!$C$9=2, "O", "X"), "O")</f>
        <v>O</v>
      </c>
      <c r="I35" s="106" t="str">
        <f>IF(OR(ISNUMBER(SEARCH("위나라", F35)), ISNUMBER(SEARCH("촉나라", F35)), ISNUMBER(SEARCH("오나라", F35)), ISNUMBER(SEARCH("군웅", F35))), IF(ISNUMBER(SEARCH('성장 시뮬레이터'!$C$10, F35)), "O", "X"), "O")</f>
        <v>O</v>
      </c>
      <c r="J35" s="8" t="str">
        <f>IF(
    AND(
        H35="O",
        I35="O",
        IF(ISNUMBER(SEARCH("무력+지력", F35)), ('성장 시뮬레이터'!$G$5+'성장 시뮬레이터'!$G$6) &gt;= G35,
           IF(ISNUMBER(SEARCH("무력", F35)), '성장 시뮬레이터'!$G$5 &gt;= G35,
           IF(ISNUMBER(SEARCH("지력", F35)), '성장 시뮬레이터'!$G$6 &gt;= G35,
           IF(ISNUMBER(SEARCH("내력", F35)), '성장 시뮬레이터'!$G$7 &gt;= G35,
           IF(ISNUMBER(SEARCH("체력", F35)), '성장 시뮬레이터'!$G$8 &gt;= G35, FALSE)))))
    ), "O", "X")</f>
        <v>X</v>
      </c>
      <c r="K35" s="106" t="str">
        <f>IF(
    AND(
        H35="O",
        I35="O",
        IF(ISNUMBER(SEARCH("무력+지력", F35)), ('성장 시뮬레이터'!$I$5+'성장 시뮬레이터'!$I$6) &gt;= G35,
           IF(ISNUMBER(SEARCH("무력", F35)), '성장 시뮬레이터'!$I$5 &gt;= G35,
           IF(ISNUMBER(SEARCH("지력", F35)), '성장 시뮬레이터'!$I$6 &gt;= G35,
           IF(ISNUMBER(SEARCH("내력", F35)), '성장 시뮬레이터'!$I$7 &gt;= G35,
           IF(ISNUMBER(SEARCH("체력", F35)), '성장 시뮬레이터'!$I$8 &gt;= G35, FALSE)))))
    ), "O", "X")</f>
        <v>O</v>
      </c>
      <c r="L35" s="106" t="str">
        <f>IF(
    AND(
        H35="O",
        I35="O",
        IF(ISNUMBER(SEARCH("무력+지력", F35)), ('성장 시뮬레이터'!$K$5+'성장 시뮬레이터'!$K$6) &gt;= G35,
           IF(ISNUMBER(SEARCH("무력", F35)), '성장 시뮬레이터'!$K$5 &gt;= G35,
           IF(ISNUMBER(SEARCH("지력", F35)), '성장 시뮬레이터'!$K$6 &gt;= G35,
           IF(ISNUMBER(SEARCH("내력", F35)), '성장 시뮬레이터'!$K$7 &gt;= G35,
           IF(ISNUMBER(SEARCH("체력", F35)), '성장 시뮬레이터'!$K$8 &gt;= G35, FALSE)))))
    ), "O", "X")</f>
        <v>O</v>
      </c>
      <c r="M35" s="106" t="str">
        <f>IF(
    AND(
        H35="O",
        I35="O",
        IF(ISNUMBER(SEARCH("무력+지력", F35)), ('성장 시뮬레이터'!$M$5+'성장 시뮬레이터'!$M$6) &gt;= G35,
           IF(ISNUMBER(SEARCH("무력", F35)), '성장 시뮬레이터'!$M$5 &gt;= G35,
           IF(ISNUMBER(SEARCH("지력", F35)), '성장 시뮬레이터'!$M$6 &gt;= G35,
           IF(ISNUMBER(SEARCH("내력", F35)), '성장 시뮬레이터'!$M$7 &gt;= G35,
           IF(ISNUMBER(SEARCH("체력", F35)), '성장 시뮬레이터'!$M$8 &gt;= G35, FALSE)))))
    ), "O", "X")</f>
        <v>O</v>
      </c>
      <c r="N35" s="106" t="str">
        <f>IF(
    AND(
        H35="O",
        I35="O",
        IF(ISNUMBER(SEARCH("무력+지력", F35)), ('성장 시뮬레이터'!$O$5+'성장 시뮬레이터'!$O$6) &gt;= G35,
           IF(ISNUMBER(SEARCH("무력", F35)), '성장 시뮬레이터'!$O$5 &gt;= G35,
           IF(ISNUMBER(SEARCH("지력", F35)), '성장 시뮬레이터'!$O$6 &gt;= G35,
           IF(ISNUMBER(SEARCH("내력", F35)), '성장 시뮬레이터'!$O$7 &gt;= G35,
           IF(ISNUMBER(SEARCH("체력", F35)), '성장 시뮬레이터'!$O$8 &gt;= G35, FALSE)))))
    ), "O", "X")</f>
        <v>O</v>
      </c>
      <c r="O35" s="106" t="str">
        <f>IF(
    AND(
        H35="O",
        I35="O",
        IF(ISNUMBER(SEARCH("무력+지력", F35)), ('성장 시뮬레이터'!$Q$5+'성장 시뮬레이터'!$Q$6) &gt;= G35,
           IF(ISNUMBER(SEARCH("무력", F35)), '성장 시뮬레이터'!$Q$5 &gt;= G35,
           IF(ISNUMBER(SEARCH("지력", F35)), '성장 시뮬레이터'!$Q$6 &gt;= G35,
           IF(ISNUMBER(SEARCH("내력", F35)), '성장 시뮬레이터'!$Q$7 &gt;= G35,
           IF(ISNUMBER(SEARCH("체력", F35)), '성장 시뮬레이터'!$Q$8 &gt;= G35, FALSE)))))
    ), "O", "X")</f>
        <v>O</v>
      </c>
      <c r="P35" s="106" t="s">
        <v>904</v>
      </c>
      <c r="Q35" s="142" t="str">
        <f t="shared" si="0"/>
        <v/>
      </c>
      <c r="R35" s="142">
        <f t="shared" si="1"/>
        <v>200</v>
      </c>
      <c r="S35" s="142">
        <f t="shared" si="2"/>
        <v>100</v>
      </c>
      <c r="T35" s="142" t="str">
        <f t="shared" si="3"/>
        <v/>
      </c>
      <c r="U35" s="142" t="str">
        <f t="shared" si="4"/>
        <v/>
      </c>
      <c r="V35" s="142" t="str">
        <f t="shared" si="5"/>
        <v/>
      </c>
      <c r="W35" s="142">
        <f t="shared" si="6"/>
        <v>100</v>
      </c>
      <c r="X35" s="142" t="str">
        <f t="shared" si="7"/>
        <v/>
      </c>
      <c r="Y35" s="142" t="str">
        <f t="shared" si="8"/>
        <v/>
      </c>
      <c r="Z35" s="142" t="str">
        <f t="shared" si="9"/>
        <v/>
      </c>
      <c r="AA35" s="9" t="s">
        <v>201</v>
      </c>
      <c r="AB35" s="9"/>
      <c r="AC35" s="9"/>
      <c r="AD35" s="9"/>
      <c r="AE35" s="10"/>
      <c r="AF35" s="143" t="s">
        <v>202</v>
      </c>
      <c r="AH35" s="8"/>
      <c r="AI35" s="8">
        <v>40</v>
      </c>
      <c r="AJ35" s="8">
        <v>20</v>
      </c>
      <c r="AK35" s="8"/>
      <c r="AL35" s="8"/>
      <c r="AM35" s="8"/>
      <c r="AN35" s="8">
        <v>20</v>
      </c>
      <c r="AO35" s="8"/>
      <c r="AP35" s="8"/>
      <c r="AQ35" s="8"/>
      <c r="AR35" s="103">
        <v>1.5</v>
      </c>
      <c r="AS35" s="8" t="str">
        <f>IF(OR(표1_3[[#This Row],[등급]]="명서",(표1_3[[#This Row],[등급]]="고급")),IF(AH35="","",AH35*$AR35),"")</f>
        <v/>
      </c>
      <c r="AT35" s="8">
        <f>IF(OR(표1_3[[#This Row],[등급]]="명서",(표1_3[[#This Row],[등급]]="고급")),IF(AI35="","",AI35*$AR35),"")</f>
        <v>60</v>
      </c>
      <c r="AU35" s="8">
        <f>IF(OR(표1_3[[#This Row],[등급]]="명서",(표1_3[[#This Row],[등급]]="고급")),IF(AJ35="","",AJ35*$AR35),"")</f>
        <v>30</v>
      </c>
      <c r="AV35" s="8" t="str">
        <f>IF(OR(표1_3[[#This Row],[등급]]="명서",(표1_3[[#This Row],[등급]]="고급")),IF(AK35="","",AK35*$AR35),"")</f>
        <v/>
      </c>
      <c r="AW35" s="8" t="str">
        <f>IF(OR(표1_3[[#This Row],[등급]]="명서",(표1_3[[#This Row],[등급]]="고급")),IF(AL35="","",AL35*$AR35),"")</f>
        <v/>
      </c>
      <c r="AX35" s="8" t="str">
        <f>IF(OR(표1_3[[#This Row],[등급]]="명서",(표1_3[[#This Row],[등급]]="고급")),IF(AM35="","",AM35*$AR35),"")</f>
        <v/>
      </c>
      <c r="AY35" s="8">
        <f>IF(OR(표1_3[[#This Row],[등급]]="명서",(표1_3[[#This Row],[등급]]="고급")),IF(AN35="","",AN35*$AR35),"")</f>
        <v>30</v>
      </c>
      <c r="AZ35" s="8" t="str">
        <f>IF(OR(표1_3[[#This Row],[등급]]="명서",(표1_3[[#This Row],[등급]]="고급")),IF(AO35="","",AO35*$AR35),"")</f>
        <v/>
      </c>
      <c r="BA35" s="8" t="str">
        <f>IF(OR(표1_3[[#This Row],[등급]]="명서",(표1_3[[#This Row],[등급]]="고급")),IF(AP35="","",AP35*$AR35),"")</f>
        <v/>
      </c>
      <c r="BB35" s="8" t="str">
        <f>IF(OR(표1_3[[#This Row],[등급]]="명서",(표1_3[[#This Row],[등급]]="고급")),IF(AQ35="","",AQ35*$AR35),"")</f>
        <v/>
      </c>
    </row>
    <row r="36" spans="1:54" x14ac:dyDescent="0.3">
      <c r="A36" s="5" t="s">
        <v>48</v>
      </c>
      <c r="B36" s="6" t="s">
        <v>12</v>
      </c>
      <c r="C36" s="6" t="s">
        <v>797</v>
      </c>
      <c r="D36" s="105" t="s">
        <v>182</v>
      </c>
      <c r="E36" s="7">
        <f t="array" ref="E36">INDEX(표1[내 책 등급], MATCH(1, (표1[사용자] ='성장 시뮬레이터'!$B$1) * (표1[책이름] = D36), 0))</f>
        <v>6</v>
      </c>
      <c r="F36" s="106" t="s">
        <v>190</v>
      </c>
      <c r="G36" s="147">
        <v>100</v>
      </c>
      <c r="H36" s="106" t="str">
        <f>IF(ISNUMBER(SEARCH("여", F36)), IF('성장 시뮬레이터'!$C$9=2, "O", "X"), "O")</f>
        <v>O</v>
      </c>
      <c r="I36" s="106" t="str">
        <f>IF(OR(ISNUMBER(SEARCH("위나라", F36)), ISNUMBER(SEARCH("촉나라", F36)), ISNUMBER(SEARCH("오나라", F36)), ISNUMBER(SEARCH("군웅", F36))), IF(ISNUMBER(SEARCH('성장 시뮬레이터'!$C$10, F36)), "O", "X"), "O")</f>
        <v>X</v>
      </c>
      <c r="J36" s="8" t="str">
        <f>IF(
    AND(
        H36="O",
        I36="O",
        IF(ISNUMBER(SEARCH("무력+지력", F36)), ('성장 시뮬레이터'!$G$5+'성장 시뮬레이터'!$G$6) &gt;= G36,
           IF(ISNUMBER(SEARCH("무력", F36)), '성장 시뮬레이터'!$G$5 &gt;= G36,
           IF(ISNUMBER(SEARCH("지력", F36)), '성장 시뮬레이터'!$G$6 &gt;= G36,
           IF(ISNUMBER(SEARCH("내력", F36)), '성장 시뮬레이터'!$G$7 &gt;= G36,
           IF(ISNUMBER(SEARCH("체력", F36)), '성장 시뮬레이터'!$G$8 &gt;= G36, FALSE)))))
    ), "O", "X")</f>
        <v>X</v>
      </c>
      <c r="K36" s="106" t="str">
        <f>IF(
    AND(
        H36="O",
        I36="O",
        IF(ISNUMBER(SEARCH("무력+지력", F36)), ('성장 시뮬레이터'!$I$5+'성장 시뮬레이터'!$I$6) &gt;= G36,
           IF(ISNUMBER(SEARCH("무력", F36)), '성장 시뮬레이터'!$I$5 &gt;= G36,
           IF(ISNUMBER(SEARCH("지력", F36)), '성장 시뮬레이터'!$I$6 &gt;= G36,
           IF(ISNUMBER(SEARCH("내력", F36)), '성장 시뮬레이터'!$I$7 &gt;= G36,
           IF(ISNUMBER(SEARCH("체력", F36)), '성장 시뮬레이터'!$I$8 &gt;= G36, FALSE)))))
    ), "O", "X")</f>
        <v>X</v>
      </c>
      <c r="L36" s="106" t="str">
        <f>IF(
    AND(
        H36="O",
        I36="O",
        IF(ISNUMBER(SEARCH("무력+지력", F36)), ('성장 시뮬레이터'!$K$5+'성장 시뮬레이터'!$K$6) &gt;= G36,
           IF(ISNUMBER(SEARCH("무력", F36)), '성장 시뮬레이터'!$K$5 &gt;= G36,
           IF(ISNUMBER(SEARCH("지력", F36)), '성장 시뮬레이터'!$K$6 &gt;= G36,
           IF(ISNUMBER(SEARCH("내력", F36)), '성장 시뮬레이터'!$K$7 &gt;= G36,
           IF(ISNUMBER(SEARCH("체력", F36)), '성장 시뮬레이터'!$K$8 &gt;= G36, FALSE)))))
    ), "O", "X")</f>
        <v>X</v>
      </c>
      <c r="M36" s="106" t="str">
        <f>IF(
    AND(
        H36="O",
        I36="O",
        IF(ISNUMBER(SEARCH("무력+지력", F36)), ('성장 시뮬레이터'!$M$5+'성장 시뮬레이터'!$M$6) &gt;= G36,
           IF(ISNUMBER(SEARCH("무력", F36)), '성장 시뮬레이터'!$M$5 &gt;= G36,
           IF(ISNUMBER(SEARCH("지력", F36)), '성장 시뮬레이터'!$M$6 &gt;= G36,
           IF(ISNUMBER(SEARCH("내력", F36)), '성장 시뮬레이터'!$M$7 &gt;= G36,
           IF(ISNUMBER(SEARCH("체력", F36)), '성장 시뮬레이터'!$M$8 &gt;= G36, FALSE)))))
    ), "O", "X")</f>
        <v>X</v>
      </c>
      <c r="N36" s="106" t="str">
        <f>IF(
    AND(
        H36="O",
        I36="O",
        IF(ISNUMBER(SEARCH("무력+지력", F36)), ('성장 시뮬레이터'!$O$5+'성장 시뮬레이터'!$O$6) &gt;= G36,
           IF(ISNUMBER(SEARCH("무력", F36)), '성장 시뮬레이터'!$O$5 &gt;= G36,
           IF(ISNUMBER(SEARCH("지력", F36)), '성장 시뮬레이터'!$O$6 &gt;= G36,
           IF(ISNUMBER(SEARCH("내력", F36)), '성장 시뮬레이터'!$O$7 &gt;= G36,
           IF(ISNUMBER(SEARCH("체력", F36)), '성장 시뮬레이터'!$O$8 &gt;= G36, FALSE)))))
    ), "O", "X")</f>
        <v>X</v>
      </c>
      <c r="O36" s="106" t="str">
        <f>IF(
    AND(
        H36="O",
        I36="O",
        IF(ISNUMBER(SEARCH("무력+지력", F36)), ('성장 시뮬레이터'!$Q$5+'성장 시뮬레이터'!$Q$6) &gt;= G36,
           IF(ISNUMBER(SEARCH("무력", F36)), '성장 시뮬레이터'!$Q$5 &gt;= G36,
           IF(ISNUMBER(SEARCH("지력", F36)), '성장 시뮬레이터'!$Q$6 &gt;= G36,
           IF(ISNUMBER(SEARCH("내력", F36)), '성장 시뮬레이터'!$Q$7 &gt;= G36,
           IF(ISNUMBER(SEARCH("체력", F36)), '성장 시뮬레이터'!$Q$8 &gt;= G36, FALSE)))))
    ), "O", "X")</f>
        <v>X</v>
      </c>
      <c r="P36" s="106" t="s">
        <v>905</v>
      </c>
      <c r="Q36" s="142">
        <f t="shared" ref="Q36:Q90" si="12">IF(OR($E36=0, AH36=""), "", CHOOSE(IF($E36=10, 1, IF($E36=4, 2, 3)), AS36+AH36*5, AH36, ($E36-4)*AH36))</f>
        <v>60</v>
      </c>
      <c r="R36" s="142">
        <f t="shared" ref="R36:R90" si="13">IF(OR($E36=0, AI36=""), "", CHOOSE(IF($E36=10, 1, IF($E36=4, 2, 3)), AT36+AI36*5, AI36, ($E36-4)*AI36))</f>
        <v>80</v>
      </c>
      <c r="S36" s="142" t="str">
        <f t="shared" ref="S36:S90" si="14">IF(OR($E36=0, AJ36=""), "", CHOOSE(IF($E36=10, 1, IF($E36=4, 2, 3)), AU36+AJ36*5, AJ36, ($E36-4)*AJ36))</f>
        <v/>
      </c>
      <c r="T36" s="142" t="str">
        <f t="shared" ref="T36:T90" si="15">IF(OR($E36=0, AK36=""), "", CHOOSE(IF($E36=10, 1, IF($E36=4, 2, 3)), AV36+AK36*5, AK36, ($E36-4)*AK36))</f>
        <v/>
      </c>
      <c r="U36" s="142" t="str">
        <f t="shared" ref="U36:U90" si="16">IF(OR($E36=0, AL36=""), "", CHOOSE(IF($E36=10, 1, IF($E36=4, 2, 3)), AW36+AL36*5, AL36, ($E36-4)*AL36))</f>
        <v/>
      </c>
      <c r="V36" s="142" t="str">
        <f t="shared" ref="V36:V90" si="17">IF(OR($E36=0, AM36=""), "", CHOOSE(IF($E36=10, 1, IF($E36=4, 2, 3)), AX36+AM36*5, AM36, ($E36-4)*AM36))</f>
        <v/>
      </c>
      <c r="W36" s="142" t="str">
        <f t="shared" ref="W36:W90" si="18">IF(OR($E36=0, AN36=""), "", CHOOSE(IF($E36=10, 1, IF($E36=4, 2, 3)), AY36+AN36*5, AN36, ($E36-4)*AN36))</f>
        <v/>
      </c>
      <c r="X36" s="142" t="str">
        <f t="shared" ref="X36:X90" si="19">IF(OR($E36=0, AO36=""), "", CHOOSE(IF($E36=10, 1, IF($E36=4, 2, 3)), AZ36+AO36*5, AO36, ($E36-4)*AO36))</f>
        <v/>
      </c>
      <c r="Y36" s="142" t="str">
        <f t="shared" ref="Y36:Y90" si="20">IF(OR($E36=0, AP36=""), "", CHOOSE(IF($E36=10, 1, IF($E36=4, 2, 3)), BA36+AP36*5, AP36, ($E36-4)*AP36))</f>
        <v/>
      </c>
      <c r="Z36" s="142" t="str">
        <f t="shared" ref="Z36:Z90" si="21">IF(OR($E36=0, AQ36=""), "", CHOOSE(IF($E36=10, 1, IF($E36=4, 2, 3)), BB36+AQ36*5, AQ36, ($E36-4)*AQ36))</f>
        <v/>
      </c>
      <c r="AA36" s="9" t="s">
        <v>191</v>
      </c>
      <c r="AB36" s="9"/>
      <c r="AC36" s="9"/>
      <c r="AD36" s="9"/>
      <c r="AE36" s="10"/>
      <c r="AF36" s="143" t="s">
        <v>192</v>
      </c>
      <c r="AH36" s="8">
        <v>30</v>
      </c>
      <c r="AI36" s="8">
        <v>40</v>
      </c>
      <c r="AJ36" s="8"/>
      <c r="AK36" s="8"/>
      <c r="AL36" s="8"/>
      <c r="AM36" s="8"/>
      <c r="AN36" s="8"/>
      <c r="AO36" s="8"/>
      <c r="AP36" s="8"/>
      <c r="AQ36" s="8"/>
      <c r="AR36" s="103">
        <v>1.5</v>
      </c>
      <c r="AS36" s="8">
        <f>IF(OR(표1_3[[#This Row],[등급]]="명서",(표1_3[[#This Row],[등급]]="고급")),IF(AH36="","",AH36*$AR36),"")</f>
        <v>45</v>
      </c>
      <c r="AT36" s="8">
        <f>IF(OR(표1_3[[#This Row],[등급]]="명서",(표1_3[[#This Row],[등급]]="고급")),IF(AI36="","",AI36*$AR36),"")</f>
        <v>60</v>
      </c>
      <c r="AU36" s="8" t="str">
        <f>IF(OR(표1_3[[#This Row],[등급]]="명서",(표1_3[[#This Row],[등급]]="고급")),IF(AJ36="","",AJ36*$AR36),"")</f>
        <v/>
      </c>
      <c r="AV36" s="8" t="str">
        <f>IF(OR(표1_3[[#This Row],[등급]]="명서",(표1_3[[#This Row],[등급]]="고급")),IF(AK36="","",AK36*$AR36),"")</f>
        <v/>
      </c>
      <c r="AW36" s="8" t="str">
        <f>IF(OR(표1_3[[#This Row],[등급]]="명서",(표1_3[[#This Row],[등급]]="고급")),IF(AL36="","",AL36*$AR36),"")</f>
        <v/>
      </c>
      <c r="AX36" s="8" t="str">
        <f>IF(OR(표1_3[[#This Row],[등급]]="명서",(표1_3[[#This Row],[등급]]="고급")),IF(AM36="","",AM36*$AR36),"")</f>
        <v/>
      </c>
      <c r="AY36" s="8" t="str">
        <f>IF(OR(표1_3[[#This Row],[등급]]="명서",(표1_3[[#This Row],[등급]]="고급")),IF(AN36="","",AN36*$AR36),"")</f>
        <v/>
      </c>
      <c r="AZ36" s="8" t="str">
        <f>IF(OR(표1_3[[#This Row],[등급]]="명서",(표1_3[[#This Row],[등급]]="고급")),IF(AO36="","",AO36*$AR36),"")</f>
        <v/>
      </c>
      <c r="BA36" s="8" t="str">
        <f>IF(OR(표1_3[[#This Row],[등급]]="명서",(표1_3[[#This Row],[등급]]="고급")),IF(AP36="","",AP36*$AR36),"")</f>
        <v/>
      </c>
      <c r="BB36" s="8" t="str">
        <f>IF(OR(표1_3[[#This Row],[등급]]="명서",(표1_3[[#This Row],[등급]]="고급")),IF(AQ36="","",AQ36*$AR36),"")</f>
        <v/>
      </c>
    </row>
    <row r="37" spans="1:54" x14ac:dyDescent="0.3">
      <c r="A37" s="5" t="s">
        <v>48</v>
      </c>
      <c r="B37" s="6" t="s">
        <v>12</v>
      </c>
      <c r="C37" s="6" t="s">
        <v>788</v>
      </c>
      <c r="D37" s="105" t="s">
        <v>217</v>
      </c>
      <c r="E37" s="7">
        <f t="array" ref="E37">INDEX(표1[내 책 등급], MATCH(1, (표1[사용자] ='성장 시뮬레이터'!$B$1) * (표1[책이름] = D37), 0))</f>
        <v>6</v>
      </c>
      <c r="F37" s="106" t="s">
        <v>189</v>
      </c>
      <c r="G37" s="147">
        <v>102</v>
      </c>
      <c r="H37" s="106" t="str">
        <f>IF(ISNUMBER(SEARCH("여", F37)), IF('성장 시뮬레이터'!$C$9=2, "O", "X"), "O")</f>
        <v>O</v>
      </c>
      <c r="I37" s="106" t="str">
        <f>IF(OR(ISNUMBER(SEARCH("위나라", F37)), ISNUMBER(SEARCH("촉나라", F37)), ISNUMBER(SEARCH("오나라", F37)), ISNUMBER(SEARCH("군웅", F37))), IF(ISNUMBER(SEARCH('성장 시뮬레이터'!$C$10, F37)), "O", "X"), "O")</f>
        <v>X</v>
      </c>
      <c r="J37" s="8" t="str">
        <f>IF(
    AND(
        H37="O",
        I37="O",
        IF(ISNUMBER(SEARCH("무력+지력", F37)), ('성장 시뮬레이터'!$G$5+'성장 시뮬레이터'!$G$6) &gt;= G37,
           IF(ISNUMBER(SEARCH("무력", F37)), '성장 시뮬레이터'!$G$5 &gt;= G37,
           IF(ISNUMBER(SEARCH("지력", F37)), '성장 시뮬레이터'!$G$6 &gt;= G37,
           IF(ISNUMBER(SEARCH("내력", F37)), '성장 시뮬레이터'!$G$7 &gt;= G37,
           IF(ISNUMBER(SEARCH("체력", F37)), '성장 시뮬레이터'!$G$8 &gt;= G37, FALSE)))))
    ), "O", "X")</f>
        <v>X</v>
      </c>
      <c r="K37" s="106" t="str">
        <f>IF(
    AND(
        H37="O",
        I37="O",
        IF(ISNUMBER(SEARCH("무력+지력", F37)), ('성장 시뮬레이터'!$I$5+'성장 시뮬레이터'!$I$6) &gt;= G37,
           IF(ISNUMBER(SEARCH("무력", F37)), '성장 시뮬레이터'!$I$5 &gt;= G37,
           IF(ISNUMBER(SEARCH("지력", F37)), '성장 시뮬레이터'!$I$6 &gt;= G37,
           IF(ISNUMBER(SEARCH("내력", F37)), '성장 시뮬레이터'!$I$7 &gt;= G37,
           IF(ISNUMBER(SEARCH("체력", F37)), '성장 시뮬레이터'!$I$8 &gt;= G37, FALSE)))))
    ), "O", "X")</f>
        <v>X</v>
      </c>
      <c r="L37" s="106" t="str">
        <f>IF(
    AND(
        H37="O",
        I37="O",
        IF(ISNUMBER(SEARCH("무력+지력", F37)), ('성장 시뮬레이터'!$K$5+'성장 시뮬레이터'!$K$6) &gt;= G37,
           IF(ISNUMBER(SEARCH("무력", F37)), '성장 시뮬레이터'!$K$5 &gt;= G37,
           IF(ISNUMBER(SEARCH("지력", F37)), '성장 시뮬레이터'!$K$6 &gt;= G37,
           IF(ISNUMBER(SEARCH("내력", F37)), '성장 시뮬레이터'!$K$7 &gt;= G37,
           IF(ISNUMBER(SEARCH("체력", F37)), '성장 시뮬레이터'!$K$8 &gt;= G37, FALSE)))))
    ), "O", "X")</f>
        <v>X</v>
      </c>
      <c r="M37" s="106" t="str">
        <f>IF(
    AND(
        H37="O",
        I37="O",
        IF(ISNUMBER(SEARCH("무력+지력", F37)), ('성장 시뮬레이터'!$M$5+'성장 시뮬레이터'!$M$6) &gt;= G37,
           IF(ISNUMBER(SEARCH("무력", F37)), '성장 시뮬레이터'!$M$5 &gt;= G37,
           IF(ISNUMBER(SEARCH("지력", F37)), '성장 시뮬레이터'!$M$6 &gt;= G37,
           IF(ISNUMBER(SEARCH("내력", F37)), '성장 시뮬레이터'!$M$7 &gt;= G37,
           IF(ISNUMBER(SEARCH("체력", F37)), '성장 시뮬레이터'!$M$8 &gt;= G37, FALSE)))))
    ), "O", "X")</f>
        <v>X</v>
      </c>
      <c r="N37" s="106" t="str">
        <f>IF(
    AND(
        H37="O",
        I37="O",
        IF(ISNUMBER(SEARCH("무력+지력", F37)), ('성장 시뮬레이터'!$O$5+'성장 시뮬레이터'!$O$6) &gt;= G37,
           IF(ISNUMBER(SEARCH("무력", F37)), '성장 시뮬레이터'!$O$5 &gt;= G37,
           IF(ISNUMBER(SEARCH("지력", F37)), '성장 시뮬레이터'!$O$6 &gt;= G37,
           IF(ISNUMBER(SEARCH("내력", F37)), '성장 시뮬레이터'!$O$7 &gt;= G37,
           IF(ISNUMBER(SEARCH("체력", F37)), '성장 시뮬레이터'!$O$8 &gt;= G37, FALSE)))))
    ), "O", "X")</f>
        <v>X</v>
      </c>
      <c r="O37" s="106" t="str">
        <f>IF(
    AND(
        H37="O",
        I37="O",
        IF(ISNUMBER(SEARCH("무력+지력", F37)), ('성장 시뮬레이터'!$Q$5+'성장 시뮬레이터'!$Q$6) &gt;= G37,
           IF(ISNUMBER(SEARCH("무력", F37)), '성장 시뮬레이터'!$Q$5 &gt;= G37,
           IF(ISNUMBER(SEARCH("지력", F37)), '성장 시뮬레이터'!$Q$6 &gt;= G37,
           IF(ISNUMBER(SEARCH("내력", F37)), '성장 시뮬레이터'!$Q$7 &gt;= G37,
           IF(ISNUMBER(SEARCH("체력", F37)), '성장 시뮬레이터'!$Q$8 &gt;= G37, FALSE)))))
    ), "O", "X")</f>
        <v>X</v>
      </c>
      <c r="P37" s="106" t="s">
        <v>905</v>
      </c>
      <c r="Q37" s="142">
        <f t="shared" si="12"/>
        <v>80</v>
      </c>
      <c r="R37" s="142">
        <f t="shared" si="13"/>
        <v>40</v>
      </c>
      <c r="S37" s="142" t="str">
        <f t="shared" si="14"/>
        <v/>
      </c>
      <c r="T37" s="142" t="str">
        <f t="shared" si="15"/>
        <v/>
      </c>
      <c r="U37" s="142" t="str">
        <f t="shared" si="16"/>
        <v/>
      </c>
      <c r="V37" s="142" t="str">
        <f t="shared" si="17"/>
        <v/>
      </c>
      <c r="W37" s="142" t="str">
        <f t="shared" si="18"/>
        <v/>
      </c>
      <c r="X37" s="142" t="str">
        <f t="shared" si="19"/>
        <v/>
      </c>
      <c r="Y37" s="142" t="str">
        <f t="shared" si="20"/>
        <v/>
      </c>
      <c r="Z37" s="142" t="str">
        <f t="shared" si="21"/>
        <v/>
      </c>
      <c r="AA37" s="9" t="s">
        <v>227</v>
      </c>
      <c r="AB37" s="108"/>
      <c r="AC37" s="108"/>
      <c r="AD37" s="108"/>
      <c r="AE37" s="108"/>
      <c r="AF37" s="143" t="s">
        <v>228</v>
      </c>
      <c r="AH37" s="8">
        <v>40</v>
      </c>
      <c r="AI37" s="8">
        <v>20</v>
      </c>
      <c r="AJ37" s="8"/>
      <c r="AK37" s="8"/>
      <c r="AL37" s="8"/>
      <c r="AM37" s="8"/>
      <c r="AN37" s="8"/>
      <c r="AO37" s="8"/>
      <c r="AP37" s="8"/>
      <c r="AQ37" s="8"/>
      <c r="AR37" s="103">
        <v>1.5</v>
      </c>
      <c r="AS37" s="8">
        <f>IF(OR(표1_3[[#This Row],[등급]]="명서",(표1_3[[#This Row],[등급]]="고급")),IF(AH37="","",AH37*$AR37),"")</f>
        <v>60</v>
      </c>
      <c r="AT37" s="8">
        <f>IF(OR(표1_3[[#This Row],[등급]]="명서",(표1_3[[#This Row],[등급]]="고급")),IF(AI37="","",AI37*$AR37),"")</f>
        <v>30</v>
      </c>
      <c r="AU37" s="8" t="str">
        <f>IF(OR(표1_3[[#This Row],[등급]]="명서",(표1_3[[#This Row],[등급]]="고급")),IF(AJ37="","",AJ37*$AR37),"")</f>
        <v/>
      </c>
      <c r="AV37" s="8" t="str">
        <f>IF(OR(표1_3[[#This Row],[등급]]="명서",(표1_3[[#This Row],[등급]]="고급")),IF(AK37="","",AK37*$AR37),"")</f>
        <v/>
      </c>
      <c r="AW37" s="8" t="str">
        <f>IF(OR(표1_3[[#This Row],[등급]]="명서",(표1_3[[#This Row],[등급]]="고급")),IF(AL37="","",AL37*$AR37),"")</f>
        <v/>
      </c>
      <c r="AX37" s="8" t="str">
        <f>IF(OR(표1_3[[#This Row],[등급]]="명서",(표1_3[[#This Row],[등급]]="고급")),IF(AM37="","",AM37*$AR37),"")</f>
        <v/>
      </c>
      <c r="AY37" s="8" t="str">
        <f>IF(OR(표1_3[[#This Row],[등급]]="명서",(표1_3[[#This Row],[등급]]="고급")),IF(AN37="","",AN37*$AR37),"")</f>
        <v/>
      </c>
      <c r="AZ37" s="8" t="str">
        <f>IF(OR(표1_3[[#This Row],[등급]]="명서",(표1_3[[#This Row],[등급]]="고급")),IF(AO37="","",AO37*$AR37),"")</f>
        <v/>
      </c>
      <c r="BA37" s="8" t="str">
        <f>IF(OR(표1_3[[#This Row],[등급]]="명서",(표1_3[[#This Row],[등급]]="고급")),IF(AP37="","",AP37*$AR37),"")</f>
        <v/>
      </c>
      <c r="BB37" s="8" t="str">
        <f>IF(OR(표1_3[[#This Row],[등급]]="명서",(표1_3[[#This Row],[등급]]="고급")),IF(AQ37="","",AQ37*$AR37),"")</f>
        <v/>
      </c>
    </row>
    <row r="38" spans="1:54" x14ac:dyDescent="0.3">
      <c r="A38" s="5" t="s">
        <v>48</v>
      </c>
      <c r="B38" s="6" t="s">
        <v>12</v>
      </c>
      <c r="C38" s="6" t="s">
        <v>788</v>
      </c>
      <c r="D38" s="105" t="s">
        <v>218</v>
      </c>
      <c r="E38" s="7">
        <f t="array" ref="E38">INDEX(표1[내 책 등급], MATCH(1, (표1[사용자] ='성장 시뮬레이터'!$B$1) * (표1[책이름] = D38), 0))</f>
        <v>7</v>
      </c>
      <c r="F38" s="106" t="s">
        <v>668</v>
      </c>
      <c r="G38" s="147">
        <v>102</v>
      </c>
      <c r="H38" s="106" t="str">
        <f>IF(ISNUMBER(SEARCH("여", F38)), IF('성장 시뮬레이터'!$C$9=2, "O", "X"), "O")</f>
        <v>O</v>
      </c>
      <c r="I38" s="106" t="str">
        <f>IF(OR(ISNUMBER(SEARCH("위나라", F38)), ISNUMBER(SEARCH("촉나라", F38)), ISNUMBER(SEARCH("오나라", F38)), ISNUMBER(SEARCH("군웅", F38))), IF(ISNUMBER(SEARCH('성장 시뮬레이터'!$C$10, F38)), "O", "X"), "O")</f>
        <v>O</v>
      </c>
      <c r="J38" s="8" t="str">
        <f>IF(
    AND(
        H38="O",
        I38="O",
        IF(ISNUMBER(SEARCH("무력+지력", F38)), ('성장 시뮬레이터'!$G$5+'성장 시뮬레이터'!$G$6) &gt;= G38,
           IF(ISNUMBER(SEARCH("무력", F38)), '성장 시뮬레이터'!$G$5 &gt;= G38,
           IF(ISNUMBER(SEARCH("지력", F38)), '성장 시뮬레이터'!$G$6 &gt;= G38,
           IF(ISNUMBER(SEARCH("내력", F38)), '성장 시뮬레이터'!$G$7 &gt;= G38,
           IF(ISNUMBER(SEARCH("체력", F38)), '성장 시뮬레이터'!$G$8 &gt;= G38, FALSE)))))
    ), "O", "X")</f>
        <v>X</v>
      </c>
      <c r="K38" s="106" t="str">
        <f>IF(
    AND(
        H38="O",
        I38="O",
        IF(ISNUMBER(SEARCH("무력+지력", F38)), ('성장 시뮬레이터'!$I$5+'성장 시뮬레이터'!$I$6) &gt;= G38,
           IF(ISNUMBER(SEARCH("무력", F38)), '성장 시뮬레이터'!$I$5 &gt;= G38,
           IF(ISNUMBER(SEARCH("지력", F38)), '성장 시뮬레이터'!$I$6 &gt;= G38,
           IF(ISNUMBER(SEARCH("내력", F38)), '성장 시뮬레이터'!$I$7 &gt;= G38,
           IF(ISNUMBER(SEARCH("체력", F38)), '성장 시뮬레이터'!$I$8 &gt;= G38, FALSE)))))
    ), "O", "X")</f>
        <v>X</v>
      </c>
      <c r="L38" s="106" t="str">
        <f>IF(
    AND(
        H38="O",
        I38="O",
        IF(ISNUMBER(SEARCH("무력+지력", F38)), ('성장 시뮬레이터'!$K$5+'성장 시뮬레이터'!$K$6) &gt;= G38,
           IF(ISNUMBER(SEARCH("무력", F38)), '성장 시뮬레이터'!$K$5 &gt;= G38,
           IF(ISNUMBER(SEARCH("지력", F38)), '성장 시뮬레이터'!$K$6 &gt;= G38,
           IF(ISNUMBER(SEARCH("내력", F38)), '성장 시뮬레이터'!$K$7 &gt;= G38,
           IF(ISNUMBER(SEARCH("체력", F38)), '성장 시뮬레이터'!$K$8 &gt;= G38, FALSE)))))
    ), "O", "X")</f>
        <v>X</v>
      </c>
      <c r="M38" s="106" t="str">
        <f>IF(
    AND(
        H38="O",
        I38="O",
        IF(ISNUMBER(SEARCH("무력+지력", F38)), ('성장 시뮬레이터'!$M$5+'성장 시뮬레이터'!$M$6) &gt;= G38,
           IF(ISNUMBER(SEARCH("무력", F38)), '성장 시뮬레이터'!$M$5 &gt;= G38,
           IF(ISNUMBER(SEARCH("지력", F38)), '성장 시뮬레이터'!$M$6 &gt;= G38,
           IF(ISNUMBER(SEARCH("내력", F38)), '성장 시뮬레이터'!$M$7 &gt;= G38,
           IF(ISNUMBER(SEARCH("체력", F38)), '성장 시뮬레이터'!$M$8 &gt;= G38, FALSE)))))
    ), "O", "X")</f>
        <v>X</v>
      </c>
      <c r="N38" s="106" t="str">
        <f>IF(
    AND(
        H38="O",
        I38="O",
        IF(ISNUMBER(SEARCH("무력+지력", F38)), ('성장 시뮬레이터'!$O$5+'성장 시뮬레이터'!$O$6) &gt;= G38,
           IF(ISNUMBER(SEARCH("무력", F38)), '성장 시뮬레이터'!$O$5 &gt;= G38,
           IF(ISNUMBER(SEARCH("지력", F38)), '성장 시뮬레이터'!$O$6 &gt;= G38,
           IF(ISNUMBER(SEARCH("내력", F38)), '성장 시뮬레이터'!$O$7 &gt;= G38,
           IF(ISNUMBER(SEARCH("체력", F38)), '성장 시뮬레이터'!$O$8 &gt;= G38, FALSE)))))
    ), "O", "X")</f>
        <v>X</v>
      </c>
      <c r="O38" s="106" t="str">
        <f>IF(
    AND(
        H38="O",
        I38="O",
        IF(ISNUMBER(SEARCH("무력+지력", F38)), ('성장 시뮬레이터'!$Q$5+'성장 시뮬레이터'!$Q$6) &gt;= G38,
           IF(ISNUMBER(SEARCH("무력", F38)), '성장 시뮬레이터'!$Q$5 &gt;= G38,
           IF(ISNUMBER(SEARCH("지력", F38)), '성장 시뮬레이터'!$Q$6 &gt;= G38,
           IF(ISNUMBER(SEARCH("내력", F38)), '성장 시뮬레이터'!$Q$7 &gt;= G38,
           IF(ISNUMBER(SEARCH("체력", F38)), '성장 시뮬레이터'!$Q$8 &gt;= G38, FALSE)))))
    ), "O", "X")</f>
        <v>X</v>
      </c>
      <c r="P38" s="106" t="s">
        <v>905</v>
      </c>
      <c r="Q38" s="142">
        <f t="shared" si="12"/>
        <v>90</v>
      </c>
      <c r="R38" s="142">
        <f t="shared" si="13"/>
        <v>120</v>
      </c>
      <c r="S38" s="142" t="str">
        <f t="shared" si="14"/>
        <v/>
      </c>
      <c r="T38" s="142" t="str">
        <f t="shared" si="15"/>
        <v/>
      </c>
      <c r="U38" s="142" t="str">
        <f t="shared" si="16"/>
        <v/>
      </c>
      <c r="V38" s="142" t="str">
        <f t="shared" si="17"/>
        <v/>
      </c>
      <c r="W38" s="142" t="str">
        <f t="shared" si="18"/>
        <v/>
      </c>
      <c r="X38" s="142" t="str">
        <f t="shared" si="19"/>
        <v/>
      </c>
      <c r="Y38" s="142" t="str">
        <f t="shared" si="20"/>
        <v/>
      </c>
      <c r="Z38" s="142" t="str">
        <f t="shared" si="21"/>
        <v/>
      </c>
      <c r="AA38" s="9" t="s">
        <v>191</v>
      </c>
      <c r="AB38" s="9"/>
      <c r="AC38" s="9"/>
      <c r="AD38" s="9"/>
      <c r="AE38" s="10"/>
      <c r="AF38" s="143" t="s">
        <v>16</v>
      </c>
      <c r="AH38" s="8">
        <v>30</v>
      </c>
      <c r="AI38" s="8">
        <v>40</v>
      </c>
      <c r="AJ38" s="8"/>
      <c r="AK38" s="8"/>
      <c r="AL38" s="8"/>
      <c r="AM38" s="8"/>
      <c r="AN38" s="8"/>
      <c r="AO38" s="8"/>
      <c r="AP38" s="8"/>
      <c r="AQ38" s="8"/>
      <c r="AR38" s="103">
        <v>1.5</v>
      </c>
      <c r="AS38" s="8">
        <f>IF(OR(표1_3[[#This Row],[등급]]="명서",(표1_3[[#This Row],[등급]]="고급")),IF(AH38="","",AH38*$AR38),"")</f>
        <v>45</v>
      </c>
      <c r="AT38" s="8">
        <f>IF(OR(표1_3[[#This Row],[등급]]="명서",(표1_3[[#This Row],[등급]]="고급")),IF(AI38="","",AI38*$AR38),"")</f>
        <v>60</v>
      </c>
      <c r="AU38" s="8" t="str">
        <f>IF(OR(표1_3[[#This Row],[등급]]="명서",(표1_3[[#This Row],[등급]]="고급")),IF(AJ38="","",AJ38*$AR38),"")</f>
        <v/>
      </c>
      <c r="AV38" s="8" t="str">
        <f>IF(OR(표1_3[[#This Row],[등급]]="명서",(표1_3[[#This Row],[등급]]="고급")),IF(AK38="","",AK38*$AR38),"")</f>
        <v/>
      </c>
      <c r="AW38" s="8" t="str">
        <f>IF(OR(표1_3[[#This Row],[등급]]="명서",(표1_3[[#This Row],[등급]]="고급")),IF(AL38="","",AL38*$AR38),"")</f>
        <v/>
      </c>
      <c r="AX38" s="8" t="str">
        <f>IF(OR(표1_3[[#This Row],[등급]]="명서",(표1_3[[#This Row],[등급]]="고급")),IF(AM38="","",AM38*$AR38),"")</f>
        <v/>
      </c>
      <c r="AY38" s="8" t="str">
        <f>IF(OR(표1_3[[#This Row],[등급]]="명서",(표1_3[[#This Row],[등급]]="고급")),IF(AN38="","",AN38*$AR38),"")</f>
        <v/>
      </c>
      <c r="AZ38" s="8" t="str">
        <f>IF(OR(표1_3[[#This Row],[등급]]="명서",(표1_3[[#This Row],[등급]]="고급")),IF(AO38="","",AO38*$AR38),"")</f>
        <v/>
      </c>
      <c r="BA38" s="8" t="str">
        <f>IF(OR(표1_3[[#This Row],[등급]]="명서",(표1_3[[#This Row],[등급]]="고급")),IF(AP38="","",AP38*$AR38),"")</f>
        <v/>
      </c>
      <c r="BB38" s="8" t="str">
        <f>IF(OR(표1_3[[#This Row],[등급]]="명서",(표1_3[[#This Row],[등급]]="고급")),IF(AQ38="","",AQ38*$AR38),"")</f>
        <v/>
      </c>
    </row>
    <row r="39" spans="1:54" x14ac:dyDescent="0.3">
      <c r="A39" s="5" t="s">
        <v>48</v>
      </c>
      <c r="B39" s="6" t="s">
        <v>12</v>
      </c>
      <c r="C39" s="6" t="s">
        <v>787</v>
      </c>
      <c r="D39" s="105" t="s">
        <v>771</v>
      </c>
      <c r="E39" s="7">
        <f t="array" ref="E39">INDEX(표1[내 책 등급], MATCH(1, (표1[사용자] ='성장 시뮬레이터'!$B$1) * (표1[책이름] = D39), 0))</f>
        <v>7</v>
      </c>
      <c r="F39" s="106" t="s">
        <v>810</v>
      </c>
      <c r="G39" s="147">
        <v>102</v>
      </c>
      <c r="H39" s="8" t="str">
        <f>IF(ISNUMBER(SEARCH("여", F39)), IF(서책입력!$D$118=2, "O", "X"), "O")</f>
        <v>O</v>
      </c>
      <c r="I39" s="8" t="str">
        <f>IF(OR(ISNUMBER(SEARCH("위나라", F39)), ISNUMBER(SEARCH("촉나라", F39)), ISNUMBER(SEARCH("오나라", F39)), ISNUMBER(SEARCH("군웅", F39))), IF(ISNUMBER(SEARCH(서책입력!$D$119, F39)), "O", "X"), "O")</f>
        <v>O</v>
      </c>
      <c r="J39" s="106" t="str">
        <f>IF(
    AND(
        H39="O",
        I39="O",
        IF(ISNUMBER(SEARCH("무력+지력", F39)), (서책입력!$G$114+서책입력!$G$115) &gt;= G39,
           IF(ISNUMBER(SEARCH("무력", F39)), 서책입력!$G$114 &gt;= G39,
           IF(ISNUMBER(SEARCH("지력", F39)), 서책입력!$G$115 &gt;= G39,
           IF(ISNUMBER(SEARCH("내력", F39)), 서책입력!$G$116 &gt;= G39,
           IF(ISNUMBER(SEARCH("체력", F39)), 서책입력!$G$117 &gt;= G39, FALSE)))))
    ), "O", "X")</f>
        <v>X</v>
      </c>
      <c r="K39" s="8" t="str">
        <f>IF(
    AND(
        H39="O",
        I39="O",
        IF(ISNUMBER(SEARCH("무력+지력", F39)), (서책입력!$I$114+서책입력!$I$115) &gt;= G39,
           IF(ISNUMBER(SEARCH("무력", F39)), 서책입력!$I$114 &gt;= G39,
           IF(ISNUMBER(SEARCH("지력", F39)), 서책입력!$I$115 &gt;= G39,
           IF(ISNUMBER(SEARCH("내력", F39)), 서책입력!$I$116 &gt;= G39,
           IF(ISNUMBER(SEARCH("체력", F39)), 서책입력!$I$117 &gt;= G39, FALSE)))))
    ), "O", "X")</f>
        <v>X</v>
      </c>
      <c r="L39" s="106" t="str">
        <f>IF(
    AND(
        H39="O",
        I39="O",
        IF(ISNUMBER(SEARCH("무력+지력", F39)), (서책입력!$K$114+서책입력!$K$115) &gt;= G39,
           IF(ISNUMBER(SEARCH("무력", F39)), 서책입력!$K$114 &gt;= G39,
           IF(ISNUMBER(SEARCH("지력", F39)), 서책입력!$K$115 &gt;= G39,
           IF(ISNUMBER(SEARCH("내력", F39)), 서책입력!$K$116 &gt;= G39,
           IF(ISNUMBER(SEARCH("체력", F39)), 서책입력!$K$117 &gt;= G39, FALSE)))))
    ), "O", "X")</f>
        <v>X</v>
      </c>
      <c r="M39" s="106" t="str">
        <f>IF(
    AND(
        H39="O",
        I39="O",
        IF(ISNUMBER(SEARCH("무력+지력", F39)), (서책입력!$M$114+서책입력!$M$115) &gt;= G39,
           IF(ISNUMBER(SEARCH("무력", F39)), 서책입력!$M$114 &gt;= G39,
           IF(ISNUMBER(SEARCH("지력", F39)), 서책입력!$M$115 &gt;= G39,
           IF(ISNUMBER(SEARCH("내력", F39)), 서책입력!$M$116 &gt;= G39,
           IF(ISNUMBER(SEARCH("체력", F39)), 서책입력!$M$117 &gt;= G39, FALSE)))))
    ), "O", "X")</f>
        <v>X</v>
      </c>
      <c r="N39" s="106" t="str">
        <f>IF(
    AND(
        H39="O",
        I39="O",
        IF(ISNUMBER(SEARCH("무력+지력", F39)), (서책입력!$O$114+서책입력!$O$115) &gt;= G39,
           IF(ISNUMBER(SEARCH("무력", F39)), 서책입력!$O$114 &gt;= G39,
           IF(ISNUMBER(SEARCH("지력", F39)), 서책입력!$O$115 &gt;= G39,
           IF(ISNUMBER(SEARCH("내력", F39)), 서책입력!$O$116 &gt;= G39,
           IF(ISNUMBER(SEARCH("체력", F39)), 서책입력!$O$117 &gt;= G39, FALSE)))))
    ), "O", "X")</f>
        <v>X</v>
      </c>
      <c r="O39" s="106" t="str">
        <f>IF(
    AND(
        H39="O",
        I39="O",
        IF(ISNUMBER(SEARCH("무력+지력", F39)), (서책입력!$R$114+서책입력!$R$115) &gt;= G39,
           IF(ISNUMBER(SEARCH("무력", F39)), 서책입력!$R$114 &gt;= G39,
           IF(ISNUMBER(SEARCH("지력", F39)), 서책입력!$R$115 &gt;= G39,
           IF(ISNUMBER(SEARCH("내력", F39)), 서책입력!$R$116 &gt;= G39,
           IF(ISNUMBER(SEARCH("체력", F39)), 서책입력!$R$117 &gt;= G39, FALSE)))))
    ), "O", "X")</f>
        <v>X</v>
      </c>
      <c r="P39" s="106" t="s">
        <v>905</v>
      </c>
      <c r="Q39" s="106">
        <f t="shared" ref="Q39:Z42" si="22">IF(OR($E39=0, AH39=""), "", CHOOSE(IF($E39=10, 1, IF($E39=4, 2, 3)), AS39+AH39*5, AH39, ($E39-4)*AH39))</f>
        <v>90</v>
      </c>
      <c r="R39" s="106">
        <f t="shared" si="22"/>
        <v>120</v>
      </c>
      <c r="S39" s="106" t="str">
        <f t="shared" si="22"/>
        <v/>
      </c>
      <c r="T39" s="106" t="str">
        <f t="shared" si="22"/>
        <v/>
      </c>
      <c r="U39" s="106" t="str">
        <f t="shared" si="22"/>
        <v/>
      </c>
      <c r="V39" s="106" t="str">
        <f t="shared" si="22"/>
        <v/>
      </c>
      <c r="W39" s="106" t="str">
        <f t="shared" si="22"/>
        <v/>
      </c>
      <c r="X39" s="106" t="str">
        <f t="shared" si="22"/>
        <v/>
      </c>
      <c r="Y39" s="106" t="str">
        <f t="shared" si="22"/>
        <v/>
      </c>
      <c r="Z39" s="106" t="str">
        <f t="shared" si="22"/>
        <v/>
      </c>
      <c r="AA39" s="108" t="s">
        <v>808</v>
      </c>
      <c r="AB39" s="108"/>
      <c r="AC39" s="108"/>
      <c r="AD39" s="108"/>
      <c r="AE39" s="108"/>
      <c r="AF39" s="143" t="s">
        <v>16</v>
      </c>
      <c r="AH39" s="8">
        <v>30</v>
      </c>
      <c r="AI39" s="8">
        <v>40</v>
      </c>
      <c r="AJ39" s="8"/>
      <c r="AK39" s="8"/>
      <c r="AL39" s="8"/>
      <c r="AM39" s="8"/>
      <c r="AN39" s="8"/>
      <c r="AO39" s="8"/>
      <c r="AP39" s="8"/>
      <c r="AQ39" s="8"/>
      <c r="AR39" s="103">
        <v>1.5</v>
      </c>
      <c r="AS39" s="8">
        <f>IF(OR(표1_3[[#This Row],[등급]]="명서",(표1_3[[#This Row],[등급]]="고급")),IF(AH39="","",AH39*$AR39),"")</f>
        <v>45</v>
      </c>
      <c r="AT39" s="8">
        <f>IF(OR(표1_3[[#This Row],[등급]]="명서",(표1_3[[#This Row],[등급]]="고급")),IF(AI39="","",AI39*$AR39),"")</f>
        <v>60</v>
      </c>
      <c r="AU39" s="8" t="str">
        <f>IF(OR(표1_3[[#This Row],[등급]]="명서",(표1_3[[#This Row],[등급]]="고급")),IF(AJ39="","",AJ39*$AR39),"")</f>
        <v/>
      </c>
      <c r="AV39" s="8" t="str">
        <f>IF(OR(표1_3[[#This Row],[등급]]="명서",(표1_3[[#This Row],[등급]]="고급")),IF(AK39="","",AK39*$AR39),"")</f>
        <v/>
      </c>
      <c r="AW39" s="8" t="str">
        <f>IF(OR(표1_3[[#This Row],[등급]]="명서",(표1_3[[#This Row],[등급]]="고급")),IF(AL39="","",AL39*$AR39),"")</f>
        <v/>
      </c>
      <c r="AX39" s="8" t="str">
        <f>IF(OR(표1_3[[#This Row],[등급]]="명서",(표1_3[[#This Row],[등급]]="고급")),IF(AM39="","",AM39*$AR39),"")</f>
        <v/>
      </c>
      <c r="AY39" s="8" t="str">
        <f>IF(OR(표1_3[[#This Row],[등급]]="명서",(표1_3[[#This Row],[등급]]="고급")),IF(AN39="","",AN39*$AR39),"")</f>
        <v/>
      </c>
      <c r="AZ39" s="8" t="str">
        <f>IF(OR(표1_3[[#This Row],[등급]]="명서",(표1_3[[#This Row],[등급]]="고급")),IF(AO39="","",AO39*$AR39),"")</f>
        <v/>
      </c>
      <c r="BA39" s="8" t="str">
        <f>IF(OR(표1_3[[#This Row],[등급]]="명서",(표1_3[[#This Row],[등급]]="고급")),IF(AP39="","",AP39*$AR39),"")</f>
        <v/>
      </c>
      <c r="BB39" s="8" t="str">
        <f>IF(OR(표1_3[[#This Row],[등급]]="명서",(표1_3[[#This Row],[등급]]="고급")),IF(AQ39="","",AQ39*$AR39),"")</f>
        <v/>
      </c>
    </row>
    <row r="40" spans="1:54" x14ac:dyDescent="0.3">
      <c r="A40" s="5" t="s">
        <v>48</v>
      </c>
      <c r="B40" s="6" t="s">
        <v>12</v>
      </c>
      <c r="C40" s="6" t="s">
        <v>787</v>
      </c>
      <c r="D40" s="105" t="s">
        <v>772</v>
      </c>
      <c r="E40" s="7">
        <f t="array" ref="E40">INDEX(표1[내 책 등급], MATCH(1, (표1[사용자] ='성장 시뮬레이터'!$B$1) * (표1[책이름] = D40), 0))</f>
        <v>0</v>
      </c>
      <c r="F40" s="106" t="s">
        <v>668</v>
      </c>
      <c r="G40" s="147">
        <v>102</v>
      </c>
      <c r="H40" s="142" t="str">
        <f>IF(ISNUMBER(SEARCH("여", F40)), IF(서책입력!$D$118=2, "O", "X"), "O")</f>
        <v>O</v>
      </c>
      <c r="I40" s="142" t="str">
        <f>IF(OR(ISNUMBER(SEARCH("위나라", F40)), ISNUMBER(SEARCH("촉나라", F40)), ISNUMBER(SEARCH("오나라", F40)), ISNUMBER(SEARCH("군웅", F40))), IF(ISNUMBER(SEARCH(서책입력!$D$119, F40)), "O", "X"), "O")</f>
        <v>O</v>
      </c>
      <c r="J40" s="147" t="str">
        <f>IF(
    AND(
        H40="O",
        I40="O",
        IF(ISNUMBER(SEARCH("무력+지력", F40)), (서책입력!$G$114+서책입력!$G$115) &gt;= G40,
           IF(ISNUMBER(SEARCH("무력", F40)), 서책입력!$G$114 &gt;= G40,
           IF(ISNUMBER(SEARCH("지력", F40)), 서책입력!$G$115 &gt;= G40,
           IF(ISNUMBER(SEARCH("내력", F40)), 서책입력!$G$116 &gt;= G40,
           IF(ISNUMBER(SEARCH("체력", F40)), 서책입력!$G$117 &gt;= G40, FALSE)))))
    ), "O", "X")</f>
        <v>X</v>
      </c>
      <c r="K40" s="142" t="str">
        <f>IF(
    AND(
        H40="O",
        I40="O",
        IF(ISNUMBER(SEARCH("무력+지력", F40)), (서책입력!$I$114+서책입력!$I$115) &gt;= G40,
           IF(ISNUMBER(SEARCH("무력", F40)), 서책입력!$I$114 &gt;= G40,
           IF(ISNUMBER(SEARCH("지력", F40)), 서책입력!$I$115 &gt;= G40,
           IF(ISNUMBER(SEARCH("내력", F40)), 서책입력!$I$116 &gt;= G40,
           IF(ISNUMBER(SEARCH("체력", F40)), 서책입력!$I$117 &gt;= G40, FALSE)))))
    ), "O", "X")</f>
        <v>X</v>
      </c>
      <c r="L40" s="147" t="str">
        <f>IF(
    AND(
        H40="O",
        I40="O",
        IF(ISNUMBER(SEARCH("무력+지력", F40)), (서책입력!$K$114+서책입력!$K$115) &gt;= G40,
           IF(ISNUMBER(SEARCH("무력", F40)), 서책입력!$K$114 &gt;= G40,
           IF(ISNUMBER(SEARCH("지력", F40)), 서책입력!$K$115 &gt;= G40,
           IF(ISNUMBER(SEARCH("내력", F40)), 서책입력!$K$116 &gt;= G40,
           IF(ISNUMBER(SEARCH("체력", F40)), 서책입력!$K$117 &gt;= G40, FALSE)))))
    ), "O", "X")</f>
        <v>X</v>
      </c>
      <c r="M40" s="147" t="str">
        <f>IF(
    AND(
        H40="O",
        I40="O",
        IF(ISNUMBER(SEARCH("무력+지력", F40)), (서책입력!$M$114+서책입력!$M$115) &gt;= G40,
           IF(ISNUMBER(SEARCH("무력", F40)), 서책입력!$M$114 &gt;= G40,
           IF(ISNUMBER(SEARCH("지력", F40)), 서책입력!$M$115 &gt;= G40,
           IF(ISNUMBER(SEARCH("내력", F40)), 서책입력!$M$116 &gt;= G40,
           IF(ISNUMBER(SEARCH("체력", F40)), 서책입력!$M$117 &gt;= G40, FALSE)))))
    ), "O", "X")</f>
        <v>X</v>
      </c>
      <c r="N40" s="147" t="str">
        <f>IF(
    AND(
        H40="O",
        I40="O",
        IF(ISNUMBER(SEARCH("무력+지력", F40)), (서책입력!$O$114+서책입력!$O$115) &gt;= G40,
           IF(ISNUMBER(SEARCH("무력", F40)), 서책입력!$O$114 &gt;= G40,
           IF(ISNUMBER(SEARCH("지력", F40)), 서책입력!$O$115 &gt;= G40,
           IF(ISNUMBER(SEARCH("내력", F40)), 서책입력!$O$116 &gt;= G40,
           IF(ISNUMBER(SEARCH("체력", F40)), 서책입력!$O$117 &gt;= G40, FALSE)))))
    ), "O", "X")</f>
        <v>X</v>
      </c>
      <c r="O40" s="147" t="str">
        <f>IF(
    AND(
        H40="O",
        I40="O",
        IF(ISNUMBER(SEARCH("무력+지력", F40)), (서책입력!$R$114+서책입력!$R$115) &gt;= G40,
           IF(ISNUMBER(SEARCH("무력", F40)), 서책입력!$R$114 &gt;= G40,
           IF(ISNUMBER(SEARCH("지력", F40)), 서책입력!$R$115 &gt;= G40,
           IF(ISNUMBER(SEARCH("내력", F40)), 서책입력!$R$116 &gt;= G40,
           IF(ISNUMBER(SEARCH("체력", F40)), 서책입력!$R$117 &gt;= G40, FALSE)))))
    ), "O", "X")</f>
        <v>X</v>
      </c>
      <c r="P40" s="147" t="s">
        <v>905</v>
      </c>
      <c r="Q40" s="147" t="str">
        <f t="shared" si="22"/>
        <v/>
      </c>
      <c r="R40" s="147" t="str">
        <f t="shared" si="22"/>
        <v/>
      </c>
      <c r="S40" s="147" t="str">
        <f t="shared" si="22"/>
        <v/>
      </c>
      <c r="T40" s="147" t="str">
        <f t="shared" si="22"/>
        <v/>
      </c>
      <c r="U40" s="147" t="str">
        <f t="shared" si="22"/>
        <v/>
      </c>
      <c r="V40" s="147" t="str">
        <f t="shared" si="22"/>
        <v/>
      </c>
      <c r="W40" s="147" t="str">
        <f t="shared" si="22"/>
        <v/>
      </c>
      <c r="X40" s="147" t="str">
        <f t="shared" si="22"/>
        <v/>
      </c>
      <c r="Y40" s="147" t="str">
        <f t="shared" si="22"/>
        <v/>
      </c>
      <c r="Z40" s="147" t="str">
        <f t="shared" si="22"/>
        <v/>
      </c>
      <c r="AA40" s="108" t="s">
        <v>791</v>
      </c>
      <c r="AB40" s="108"/>
      <c r="AC40" s="108"/>
      <c r="AD40" s="108"/>
      <c r="AE40" s="108"/>
      <c r="AF40" s="145" t="s">
        <v>792</v>
      </c>
      <c r="AH40" s="8">
        <v>40</v>
      </c>
      <c r="AI40" s="8">
        <v>30</v>
      </c>
      <c r="AJ40" s="8"/>
      <c r="AK40" s="8"/>
      <c r="AL40" s="8"/>
      <c r="AM40" s="8"/>
      <c r="AN40" s="8"/>
      <c r="AO40" s="8"/>
      <c r="AP40" s="8"/>
      <c r="AQ40" s="8"/>
      <c r="AR40" s="103">
        <v>1.5</v>
      </c>
      <c r="AS40" s="8">
        <f>IF(OR(표1_3[[#This Row],[등급]]="명서",(표1_3[[#This Row],[등급]]="고급")),IF(AH40="","",AH40*$AR40),"")</f>
        <v>60</v>
      </c>
      <c r="AT40" s="8">
        <f>IF(OR(표1_3[[#This Row],[등급]]="명서",(표1_3[[#This Row],[등급]]="고급")),IF(AI40="","",AI40*$AR40),"")</f>
        <v>45</v>
      </c>
      <c r="AU40" s="8" t="str">
        <f>IF(OR(표1_3[[#This Row],[등급]]="명서",(표1_3[[#This Row],[등급]]="고급")),IF(AJ40="","",AJ40*$AR40),"")</f>
        <v/>
      </c>
      <c r="AV40" s="8" t="str">
        <f>IF(OR(표1_3[[#This Row],[등급]]="명서",(표1_3[[#This Row],[등급]]="고급")),IF(AK40="","",AK40*$AR40),"")</f>
        <v/>
      </c>
      <c r="AW40" s="8" t="str">
        <f>IF(OR(표1_3[[#This Row],[등급]]="명서",(표1_3[[#This Row],[등급]]="고급")),IF(AL40="","",AL40*$AR40),"")</f>
        <v/>
      </c>
      <c r="AX40" s="8" t="str">
        <f>IF(OR(표1_3[[#This Row],[등급]]="명서",(표1_3[[#This Row],[등급]]="고급")),IF(AM40="","",AM40*$AR40),"")</f>
        <v/>
      </c>
      <c r="AY40" s="8" t="str">
        <f>IF(OR(표1_3[[#This Row],[등급]]="명서",(표1_3[[#This Row],[등급]]="고급")),IF(AN40="","",AN40*$AR40),"")</f>
        <v/>
      </c>
      <c r="AZ40" s="8" t="str">
        <f>IF(OR(표1_3[[#This Row],[등급]]="명서",(표1_3[[#This Row],[등급]]="고급")),IF(AO40="","",AO40*$AR40),"")</f>
        <v/>
      </c>
      <c r="BA40" s="8" t="str">
        <f>IF(OR(표1_3[[#This Row],[등급]]="명서",(표1_3[[#This Row],[등급]]="고급")),IF(AP40="","",AP40*$AR40),"")</f>
        <v/>
      </c>
      <c r="BB40" s="8" t="str">
        <f>IF(OR(표1_3[[#This Row],[등급]]="명서",(표1_3[[#This Row],[등급]]="고급")),IF(AQ40="","",AQ40*$AR40),"")</f>
        <v/>
      </c>
    </row>
    <row r="41" spans="1:54" x14ac:dyDescent="0.3">
      <c r="A41" s="5" t="s">
        <v>48</v>
      </c>
      <c r="B41" s="6" t="s">
        <v>12</v>
      </c>
      <c r="C41" s="6" t="s">
        <v>786</v>
      </c>
      <c r="D41" s="105" t="s">
        <v>779</v>
      </c>
      <c r="E41" s="7">
        <f t="array" ref="E41">INDEX(표1[내 책 등급], MATCH(1, (표1[사용자] ='성장 시뮬레이터'!$B$1) * (표1[책이름] = D41), 0))</f>
        <v>6</v>
      </c>
      <c r="F41" s="106" t="s">
        <v>189</v>
      </c>
      <c r="G41" s="106">
        <v>102</v>
      </c>
      <c r="H41" s="8" t="str">
        <f>IF(ISNUMBER(SEARCH("여", F41)), IF(서책입력!$D$118=2, "O", "X"), "O")</f>
        <v>O</v>
      </c>
      <c r="I41" s="8" t="str">
        <f>IF(OR(ISNUMBER(SEARCH("위나라", F41)), ISNUMBER(SEARCH("촉나라", F41)), ISNUMBER(SEARCH("오나라", F41)), ISNUMBER(SEARCH("군웅", F41))), IF(ISNUMBER(SEARCH(서책입력!$D$119, F41)), "O", "X"), "O")</f>
        <v>O</v>
      </c>
      <c r="J41" s="106" t="str">
        <f>IF(
    AND(
        H41="O",
        I41="O",
        IF(ISNUMBER(SEARCH("무력+지력", F41)), (서책입력!$G$114+서책입력!$G$115) &gt;= G41,
           IF(ISNUMBER(SEARCH("무력", F41)), 서책입력!$G$114 &gt;= G41,
           IF(ISNUMBER(SEARCH("지력", F41)), 서책입력!$G$115 &gt;= G41,
           IF(ISNUMBER(SEARCH("내력", F41)), 서책입력!$G$116 &gt;= G41,
           IF(ISNUMBER(SEARCH("체력", F41)), 서책입력!$G$117 &gt;= G41, FALSE)))))
    ), "O", "X")</f>
        <v>X</v>
      </c>
      <c r="K41" s="8" t="str">
        <f>IF(
    AND(
        H41="O",
        I41="O",
        IF(ISNUMBER(SEARCH("무력+지력", F41)), (서책입력!$I$114+서책입력!$I$115) &gt;= G41,
           IF(ISNUMBER(SEARCH("무력", F41)), 서책입력!$I$114 &gt;= G41,
           IF(ISNUMBER(SEARCH("지력", F41)), 서책입력!$I$115 &gt;= G41,
           IF(ISNUMBER(SEARCH("내력", F41)), 서책입력!$I$116 &gt;= G41,
           IF(ISNUMBER(SEARCH("체력", F41)), 서책입력!$I$117 &gt;= G41, FALSE)))))
    ), "O", "X")</f>
        <v>X</v>
      </c>
      <c r="L41" s="106" t="str">
        <f>IF(
    AND(
        H41="O",
        I41="O",
        IF(ISNUMBER(SEARCH("무력+지력", F41)), (서책입력!$K$114+서책입력!$K$115) &gt;= G41,
           IF(ISNUMBER(SEARCH("무력", F41)), 서책입력!$K$114 &gt;= G41,
           IF(ISNUMBER(SEARCH("지력", F41)), 서책입력!$K$115 &gt;= G41,
           IF(ISNUMBER(SEARCH("내력", F41)), 서책입력!$K$116 &gt;= G41,
           IF(ISNUMBER(SEARCH("체력", F41)), 서책입력!$K$117 &gt;= G41, FALSE)))))
    ), "O", "X")</f>
        <v>X</v>
      </c>
      <c r="M41" s="106" t="str">
        <f>IF(
    AND(
        H41="O",
        I41="O",
        IF(ISNUMBER(SEARCH("무력+지력", F41)), (서책입력!$M$114+서책입력!$M$115) &gt;= G41,
           IF(ISNUMBER(SEARCH("무력", F41)), 서책입력!$M$114 &gt;= G41,
           IF(ISNUMBER(SEARCH("지력", F41)), 서책입력!$M$115 &gt;= G41,
           IF(ISNUMBER(SEARCH("내력", F41)), 서책입력!$M$116 &gt;= G41,
           IF(ISNUMBER(SEARCH("체력", F41)), 서책입력!$M$117 &gt;= G41, FALSE)))))
    ), "O", "X")</f>
        <v>X</v>
      </c>
      <c r="N41" s="106" t="str">
        <f>IF(
    AND(
        H41="O",
        I41="O",
        IF(ISNUMBER(SEARCH("무력+지력", F41)), (서책입력!$O$114+서책입력!$O$115) &gt;= G41,
           IF(ISNUMBER(SEARCH("무력", F41)), 서책입력!$O$114 &gt;= G41,
           IF(ISNUMBER(SEARCH("지력", F41)), 서책입력!$O$115 &gt;= G41,
           IF(ISNUMBER(SEARCH("내력", F41)), 서책입력!$O$116 &gt;= G41,
           IF(ISNUMBER(SEARCH("체력", F41)), 서책입력!$O$117 &gt;= G41, FALSE)))))
    ), "O", "X")</f>
        <v>X</v>
      </c>
      <c r="O41" s="106" t="str">
        <f>IF(
    AND(
        H41="O",
        I41="O",
        IF(ISNUMBER(SEARCH("무력+지력", F41)), (서책입력!$R$114+서책입력!$R$115) &gt;= G41,
           IF(ISNUMBER(SEARCH("무력", F41)), 서책입력!$R$114 &gt;= G41,
           IF(ISNUMBER(SEARCH("지력", F41)), 서책입력!$R$115 &gt;= G41,
           IF(ISNUMBER(SEARCH("내력", F41)), 서책입력!$R$116 &gt;= G41,
           IF(ISNUMBER(SEARCH("체력", F41)), 서책입력!$R$117 &gt;= G41, FALSE)))))
    ), "O", "X")</f>
        <v>X</v>
      </c>
      <c r="P41" s="106" t="s">
        <v>905</v>
      </c>
      <c r="Q41" s="106" t="str">
        <f t="shared" si="22"/>
        <v/>
      </c>
      <c r="R41" s="106">
        <f t="shared" si="22"/>
        <v>80</v>
      </c>
      <c r="S41" s="106" t="str">
        <f t="shared" si="22"/>
        <v/>
      </c>
      <c r="T41" s="106" t="str">
        <f t="shared" si="22"/>
        <v/>
      </c>
      <c r="U41" s="106" t="str">
        <f t="shared" si="22"/>
        <v/>
      </c>
      <c r="V41" s="106" t="str">
        <f t="shared" si="22"/>
        <v/>
      </c>
      <c r="W41" s="106">
        <f t="shared" si="22"/>
        <v>40</v>
      </c>
      <c r="X41" s="106" t="str">
        <f t="shared" si="22"/>
        <v/>
      </c>
      <c r="Y41" s="106" t="str">
        <f t="shared" si="22"/>
        <v/>
      </c>
      <c r="Z41" s="106" t="str">
        <f t="shared" si="22"/>
        <v/>
      </c>
      <c r="AA41" s="108" t="s">
        <v>925</v>
      </c>
      <c r="AB41" s="108"/>
      <c r="AC41" s="108"/>
      <c r="AD41" s="108"/>
      <c r="AE41" s="108"/>
      <c r="AF41" s="145" t="s">
        <v>924</v>
      </c>
      <c r="AH41" s="8"/>
      <c r="AI41" s="8">
        <v>40</v>
      </c>
      <c r="AJ41" s="8"/>
      <c r="AK41" s="8"/>
      <c r="AL41" s="8"/>
      <c r="AM41" s="8"/>
      <c r="AN41" s="8">
        <v>20</v>
      </c>
      <c r="AO41" s="8"/>
      <c r="AP41" s="8"/>
      <c r="AQ41" s="8"/>
      <c r="AR41" s="103">
        <v>1.5</v>
      </c>
      <c r="AS41" s="8" t="str">
        <f>IF(OR(표1_3[[#This Row],[등급]]="명서",(표1_3[[#This Row],[등급]]="고급")),IF(AH41="","",AH41*$AR41),"")</f>
        <v/>
      </c>
      <c r="AT41" s="8">
        <f>IF(OR(표1_3[[#This Row],[등급]]="명서",(표1_3[[#This Row],[등급]]="고급")),IF(AI41="","",AI41*$AR41),"")</f>
        <v>60</v>
      </c>
      <c r="AU41" s="8" t="str">
        <f>IF(OR(표1_3[[#This Row],[등급]]="명서",(표1_3[[#This Row],[등급]]="고급")),IF(AJ41="","",AJ41*$AR41),"")</f>
        <v/>
      </c>
      <c r="AV41" s="8" t="str">
        <f>IF(OR(표1_3[[#This Row],[등급]]="명서",(표1_3[[#This Row],[등급]]="고급")),IF(AK41="","",AK41*$AR41),"")</f>
        <v/>
      </c>
      <c r="AW41" s="8" t="str">
        <f>IF(OR(표1_3[[#This Row],[등급]]="명서",(표1_3[[#This Row],[등급]]="고급")),IF(AL41="","",AL41*$AR41),"")</f>
        <v/>
      </c>
      <c r="AX41" s="8" t="str">
        <f>IF(OR(표1_3[[#This Row],[등급]]="명서",(표1_3[[#This Row],[등급]]="고급")),IF(AM41="","",AM41*$AR41),"")</f>
        <v/>
      </c>
      <c r="AY41" s="8">
        <f>IF(OR(표1_3[[#This Row],[등급]]="명서",(표1_3[[#This Row],[등급]]="고급")),IF(AN41="","",AN41*$AR41),"")</f>
        <v>30</v>
      </c>
      <c r="AZ41" s="8" t="str">
        <f>IF(OR(표1_3[[#This Row],[등급]]="명서",(표1_3[[#This Row],[등급]]="고급")),IF(AO41="","",AO41*$AR41),"")</f>
        <v/>
      </c>
      <c r="BA41" s="8" t="str">
        <f>IF(OR(표1_3[[#This Row],[등급]]="명서",(표1_3[[#This Row],[등급]]="고급")),IF(AP41="","",AP41*$AR41),"")</f>
        <v/>
      </c>
      <c r="BB41" s="8" t="str">
        <f>IF(OR(표1_3[[#This Row],[등급]]="명서",(표1_3[[#This Row],[등급]]="고급")),IF(AQ41="","",AQ41*$AR41),"")</f>
        <v/>
      </c>
    </row>
    <row r="42" spans="1:54" x14ac:dyDescent="0.3">
      <c r="A42" s="5" t="s">
        <v>48</v>
      </c>
      <c r="B42" s="6" t="s">
        <v>12</v>
      </c>
      <c r="C42" s="6" t="s">
        <v>786</v>
      </c>
      <c r="D42" s="105" t="s">
        <v>780</v>
      </c>
      <c r="E42" s="7">
        <f t="array" ref="E42">INDEX(표1[내 책 등급], MATCH(1, (표1[사용자] ='성장 시뮬레이터'!$B$1) * (표1[책이름] = D42), 0))</f>
        <v>6</v>
      </c>
      <c r="F42" s="106" t="s">
        <v>173</v>
      </c>
      <c r="G42" s="106">
        <v>113</v>
      </c>
      <c r="H42" s="8" t="str">
        <f>IF(ISNUMBER(SEARCH("여", F42)), IF(서책입력!$D$118=2, "O", "X"), "O")</f>
        <v>O</v>
      </c>
      <c r="I42" s="8" t="str">
        <f>IF(OR(ISNUMBER(SEARCH("위나라", F42)), ISNUMBER(SEARCH("촉나라", F42)), ISNUMBER(SEARCH("오나라", F42)), ISNUMBER(SEARCH("군웅", F42))), IF(ISNUMBER(SEARCH(서책입력!$D$119, F42)), "O", "X"), "O")</f>
        <v>O</v>
      </c>
      <c r="J42" s="106" t="str">
        <f>IF(
    AND(
        H42="O",
        I42="O",
        IF(ISNUMBER(SEARCH("무력+지력", F42)), (서책입력!$G$114+서책입력!$G$115) &gt;= G42,
           IF(ISNUMBER(SEARCH("무력", F42)), 서책입력!$G$114 &gt;= G42,
           IF(ISNUMBER(SEARCH("지력", F42)), 서책입력!$G$115 &gt;= G42,
           IF(ISNUMBER(SEARCH("내력", F42)), 서책입력!$G$116 &gt;= G42,
           IF(ISNUMBER(SEARCH("체력", F42)), 서책입력!$G$117 &gt;= G42, FALSE)))))
    ), "O", "X")</f>
        <v>X</v>
      </c>
      <c r="K42" s="8" t="str">
        <f>IF(
    AND(
        H42="O",
        I42="O",
        IF(ISNUMBER(SEARCH("무력+지력", F42)), (서책입력!$I$114+서책입력!$I$115) &gt;= G42,
           IF(ISNUMBER(SEARCH("무력", F42)), 서책입력!$I$114 &gt;= G42,
           IF(ISNUMBER(SEARCH("지력", F42)), 서책입력!$I$115 &gt;= G42,
           IF(ISNUMBER(SEARCH("내력", F42)), 서책입력!$I$116 &gt;= G42,
           IF(ISNUMBER(SEARCH("체력", F42)), 서책입력!$I$117 &gt;= G42, FALSE)))))
    ), "O", "X")</f>
        <v>X</v>
      </c>
      <c r="L42" s="106" t="str">
        <f>IF(
    AND(
        H42="O",
        I42="O",
        IF(ISNUMBER(SEARCH("무력+지력", F42)), (서책입력!$K$114+서책입력!$K$115) &gt;= G42,
           IF(ISNUMBER(SEARCH("무력", F42)), 서책입력!$K$114 &gt;= G42,
           IF(ISNUMBER(SEARCH("지력", F42)), 서책입력!$K$115 &gt;= G42,
           IF(ISNUMBER(SEARCH("내력", F42)), 서책입력!$K$116 &gt;= G42,
           IF(ISNUMBER(SEARCH("체력", F42)), 서책입력!$K$117 &gt;= G42, FALSE)))))
    ), "O", "X")</f>
        <v>X</v>
      </c>
      <c r="M42" s="106" t="str">
        <f>IF(
    AND(
        H42="O",
        I42="O",
        IF(ISNUMBER(SEARCH("무력+지력", F42)), (서책입력!$M$114+서책입력!$M$115) &gt;= G42,
           IF(ISNUMBER(SEARCH("무력", F42)), 서책입력!$M$114 &gt;= G42,
           IF(ISNUMBER(SEARCH("지력", F42)), 서책입력!$M$115 &gt;= G42,
           IF(ISNUMBER(SEARCH("내력", F42)), 서책입력!$M$116 &gt;= G42,
           IF(ISNUMBER(SEARCH("체력", F42)), 서책입력!$M$117 &gt;= G42, FALSE)))))
    ), "O", "X")</f>
        <v>X</v>
      </c>
      <c r="N42" s="106" t="str">
        <f>IF(
    AND(
        H42="O",
        I42="O",
        IF(ISNUMBER(SEARCH("무력+지력", F42)), (서책입력!$O$114+서책입력!$O$115) &gt;= G42,
           IF(ISNUMBER(SEARCH("무력", F42)), 서책입력!$O$114 &gt;= G42,
           IF(ISNUMBER(SEARCH("지력", F42)), 서책입력!$O$115 &gt;= G42,
           IF(ISNUMBER(SEARCH("내력", F42)), 서책입력!$O$116 &gt;= G42,
           IF(ISNUMBER(SEARCH("체력", F42)), 서책입력!$O$117 &gt;= G42, FALSE)))))
    ), "O", "X")</f>
        <v>X</v>
      </c>
      <c r="O42" s="106" t="str">
        <f>IF(
    AND(
        H42="O",
        I42="O",
        IF(ISNUMBER(SEARCH("무력+지력", F42)), (서책입력!$R$114+서책입력!$R$115) &gt;= G42,
           IF(ISNUMBER(SEARCH("무력", F42)), 서책입력!$R$114 &gt;= G42,
           IF(ISNUMBER(SEARCH("지력", F42)), 서책입력!$R$115 &gt;= G42,
           IF(ISNUMBER(SEARCH("내력", F42)), 서책입력!$R$116 &gt;= G42,
           IF(ISNUMBER(SEARCH("체력", F42)), 서책입력!$R$117 &gt;= G42, FALSE)))))
    ), "O", "X")</f>
        <v>X</v>
      </c>
      <c r="P42" s="106" t="s">
        <v>905</v>
      </c>
      <c r="Q42" s="106" t="str">
        <f t="shared" si="22"/>
        <v/>
      </c>
      <c r="R42" s="106">
        <f t="shared" si="22"/>
        <v>80</v>
      </c>
      <c r="S42" s="106">
        <f t="shared" si="22"/>
        <v>40</v>
      </c>
      <c r="T42" s="106" t="str">
        <f t="shared" si="22"/>
        <v/>
      </c>
      <c r="U42" s="106" t="str">
        <f t="shared" si="22"/>
        <v/>
      </c>
      <c r="V42" s="106" t="str">
        <f t="shared" si="22"/>
        <v/>
      </c>
      <c r="W42" s="106">
        <f t="shared" si="22"/>
        <v>40</v>
      </c>
      <c r="X42" s="106" t="str">
        <f t="shared" si="22"/>
        <v/>
      </c>
      <c r="Y42" s="106" t="str">
        <f t="shared" si="22"/>
        <v/>
      </c>
      <c r="Z42" s="106" t="str">
        <f t="shared" si="22"/>
        <v/>
      </c>
      <c r="AA42" s="108" t="s">
        <v>929</v>
      </c>
      <c r="AB42" s="108"/>
      <c r="AC42" s="108"/>
      <c r="AD42" s="108"/>
      <c r="AE42" s="108"/>
      <c r="AF42" s="145" t="s">
        <v>930</v>
      </c>
      <c r="AH42" s="8"/>
      <c r="AI42" s="8">
        <v>40</v>
      </c>
      <c r="AJ42" s="8">
        <v>20</v>
      </c>
      <c r="AK42" s="8"/>
      <c r="AL42" s="8"/>
      <c r="AM42" s="8"/>
      <c r="AN42" s="8">
        <v>20</v>
      </c>
      <c r="AO42" s="8"/>
      <c r="AP42" s="8"/>
      <c r="AQ42" s="8"/>
      <c r="AR42" s="103">
        <v>1.5</v>
      </c>
      <c r="AS42" s="8" t="str">
        <f>IF(OR(표1_3[[#This Row],[등급]]="명서",(표1_3[[#This Row],[등급]]="고급")),IF(AH42="","",AH42*$AR42),"")</f>
        <v/>
      </c>
      <c r="AT42" s="8">
        <f>IF(OR(표1_3[[#This Row],[등급]]="명서",(표1_3[[#This Row],[등급]]="고급")),IF(AI42="","",AI42*$AR42),"")</f>
        <v>60</v>
      </c>
      <c r="AU42" s="8">
        <f>IF(OR(표1_3[[#This Row],[등급]]="명서",(표1_3[[#This Row],[등급]]="고급")),IF(AJ42="","",AJ42*$AR42),"")</f>
        <v>30</v>
      </c>
      <c r="AV42" s="8" t="str">
        <f>IF(OR(표1_3[[#This Row],[등급]]="명서",(표1_3[[#This Row],[등급]]="고급")),IF(AK42="","",AK42*$AR42),"")</f>
        <v/>
      </c>
      <c r="AW42" s="8" t="str">
        <f>IF(OR(표1_3[[#This Row],[등급]]="명서",(표1_3[[#This Row],[등급]]="고급")),IF(AL42="","",AL42*$AR42),"")</f>
        <v/>
      </c>
      <c r="AX42" s="8" t="str">
        <f>IF(OR(표1_3[[#This Row],[등급]]="명서",(표1_3[[#This Row],[등급]]="고급")),IF(AM42="","",AM42*$AR42),"")</f>
        <v/>
      </c>
      <c r="AY42" s="8">
        <f>IF(OR(표1_3[[#This Row],[등급]]="명서",(표1_3[[#This Row],[등급]]="고급")),IF(AN42="","",AN42*$AR42),"")</f>
        <v>30</v>
      </c>
      <c r="AZ42" s="8" t="str">
        <f>IF(OR(표1_3[[#This Row],[등급]]="명서",(표1_3[[#This Row],[등급]]="고급")),IF(AO42="","",AO42*$AR42),"")</f>
        <v/>
      </c>
      <c r="BA42" s="8" t="str">
        <f>IF(OR(표1_3[[#This Row],[등급]]="명서",(표1_3[[#This Row],[등급]]="고급")),IF(AP42="","",AP42*$AR42),"")</f>
        <v/>
      </c>
      <c r="BB42" s="8" t="str">
        <f>IF(OR(표1_3[[#This Row],[등급]]="명서",(표1_3[[#This Row],[등급]]="고급")),IF(AQ42="","",AQ42*$AR42),"")</f>
        <v/>
      </c>
    </row>
    <row r="43" spans="1:54" x14ac:dyDescent="0.3">
      <c r="A43" s="5" t="s">
        <v>48</v>
      </c>
      <c r="B43" s="6" t="s">
        <v>34</v>
      </c>
      <c r="C43" s="203" t="s">
        <v>799</v>
      </c>
      <c r="D43" s="7" t="s">
        <v>74</v>
      </c>
      <c r="E43" s="7">
        <f t="array" ref="E43">INDEX(표1[내 책 등급], MATCH(1, (표1[사용자] ='성장 시뮬레이터'!$B$1) * (표1[책이름] = D43), 0))</f>
        <v>10</v>
      </c>
      <c r="F43" s="6" t="s">
        <v>14</v>
      </c>
      <c r="G43" s="142">
        <v>89</v>
      </c>
      <c r="H43" s="8" t="str">
        <f>IF(ISNUMBER(SEARCH("여", F43)), IF('성장 시뮬레이터'!$C$9=2, "O", "X"), "O")</f>
        <v>O</v>
      </c>
      <c r="I43" s="8" t="str">
        <f>IF(OR(ISNUMBER(SEARCH("위나라", F43)), ISNUMBER(SEARCH("촉나라", F43)), ISNUMBER(SEARCH("오나라", F43)), ISNUMBER(SEARCH("군웅", F43))), IF(ISNUMBER(SEARCH('성장 시뮬레이터'!$C$10, F43)), "O", "X"), "O")</f>
        <v>O</v>
      </c>
      <c r="J43" s="8" t="str">
        <f>IF(
    AND(
        H43="O",
        I43="O",
        IF(ISNUMBER(SEARCH("무력+지력", F43)), ('성장 시뮬레이터'!$G$5+'성장 시뮬레이터'!$G$6) &gt;= G43,
           IF(ISNUMBER(SEARCH("무력", F43)), '성장 시뮬레이터'!$G$5 &gt;= G43,
           IF(ISNUMBER(SEARCH("지력", F43)), '성장 시뮬레이터'!$G$6 &gt;= G43,
           IF(ISNUMBER(SEARCH("내력", F43)), '성장 시뮬레이터'!$G$7 &gt;= G43,
           IF(ISNUMBER(SEARCH("체력", F43)), '성장 시뮬레이터'!$G$8 &gt;= G43, FALSE)))))
    ), "O", "X")</f>
        <v>O</v>
      </c>
      <c r="K43" s="106" t="str">
        <f>IF(
    AND(
        H43="O",
        I43="O",
        IF(ISNUMBER(SEARCH("무력+지력", F43)), ('성장 시뮬레이터'!$I$5+'성장 시뮬레이터'!$I$6) &gt;= G43,
           IF(ISNUMBER(SEARCH("무력", F43)), '성장 시뮬레이터'!$I$5 &gt;= G43,
           IF(ISNUMBER(SEARCH("지력", F43)), '성장 시뮬레이터'!$I$6 &gt;= G43,
           IF(ISNUMBER(SEARCH("내력", F43)), '성장 시뮬레이터'!$I$7 &gt;= G43,
           IF(ISNUMBER(SEARCH("체력", F43)), '성장 시뮬레이터'!$I$8 &gt;= G43, FALSE)))))
    ), "O", "X")</f>
        <v>O</v>
      </c>
      <c r="L43" s="106" t="str">
        <f>IF(
    AND(
        H43="O",
        I43="O",
        IF(ISNUMBER(SEARCH("무력+지력", F43)), ('성장 시뮬레이터'!$K$5+'성장 시뮬레이터'!$K$6) &gt;= G43,
           IF(ISNUMBER(SEARCH("무력", F43)), '성장 시뮬레이터'!$K$5 &gt;= G43,
           IF(ISNUMBER(SEARCH("지력", F43)), '성장 시뮬레이터'!$K$6 &gt;= G43,
           IF(ISNUMBER(SEARCH("내력", F43)), '성장 시뮬레이터'!$K$7 &gt;= G43,
           IF(ISNUMBER(SEARCH("체력", F43)), '성장 시뮬레이터'!$K$8 &gt;= G43, FALSE)))))
    ), "O", "X")</f>
        <v>O</v>
      </c>
      <c r="M43" s="106" t="str">
        <f>IF(
    AND(
        H43="O",
        I43="O",
        IF(ISNUMBER(SEARCH("무력+지력", F43)), ('성장 시뮬레이터'!$M$5+'성장 시뮬레이터'!$M$6) &gt;= G43,
           IF(ISNUMBER(SEARCH("무력", F43)), '성장 시뮬레이터'!$M$5 &gt;= G43,
           IF(ISNUMBER(SEARCH("지력", F43)), '성장 시뮬레이터'!$M$6 &gt;= G43,
           IF(ISNUMBER(SEARCH("내력", F43)), '성장 시뮬레이터'!$M$7 &gt;= G43,
           IF(ISNUMBER(SEARCH("체력", F43)), '성장 시뮬레이터'!$M$8 &gt;= G43, FALSE)))))
    ), "O", "X")</f>
        <v>O</v>
      </c>
      <c r="N43" s="106" t="str">
        <f>IF(
    AND(
        H43="O",
        I43="O",
        IF(ISNUMBER(SEARCH("무력+지력", F43)), ('성장 시뮬레이터'!$O$5+'성장 시뮬레이터'!$O$6) &gt;= G43,
           IF(ISNUMBER(SEARCH("무력", F43)), '성장 시뮬레이터'!$O$5 &gt;= G43,
           IF(ISNUMBER(SEARCH("지력", F43)), '성장 시뮬레이터'!$O$6 &gt;= G43,
           IF(ISNUMBER(SEARCH("내력", F43)), '성장 시뮬레이터'!$O$7 &gt;= G43,
           IF(ISNUMBER(SEARCH("체력", F43)), '성장 시뮬레이터'!$O$8 &gt;= G43, FALSE)))))
    ), "O", "X")</f>
        <v>O</v>
      </c>
      <c r="O43" s="106" t="str">
        <f>IF(
    AND(
        H43="O",
        I43="O",
        IF(ISNUMBER(SEARCH("무력+지력", F43)), ('성장 시뮬레이터'!$Q$5+'성장 시뮬레이터'!$Q$6) &gt;= G43,
           IF(ISNUMBER(SEARCH("무력", F43)), '성장 시뮬레이터'!$Q$5 &gt;= G43,
           IF(ISNUMBER(SEARCH("지력", F43)), '성장 시뮬레이터'!$Q$6 &gt;= G43,
           IF(ISNUMBER(SEARCH("내력", F43)), '성장 시뮬레이터'!$Q$7 &gt;= G43,
           IF(ISNUMBER(SEARCH("체력", F43)), '성장 시뮬레이터'!$Q$8 &gt;= G43, FALSE)))))
    ), "O", "X")</f>
        <v>O</v>
      </c>
      <c r="P43" s="106" t="s">
        <v>904</v>
      </c>
      <c r="Q43" s="142" t="str">
        <f t="shared" si="12"/>
        <v/>
      </c>
      <c r="R43" s="142">
        <f t="shared" si="13"/>
        <v>95</v>
      </c>
      <c r="S43" s="142" t="str">
        <f t="shared" si="14"/>
        <v/>
      </c>
      <c r="T43" s="142" t="str">
        <f t="shared" si="15"/>
        <v/>
      </c>
      <c r="U43" s="142" t="str">
        <f t="shared" si="16"/>
        <v/>
      </c>
      <c r="V43" s="142" t="str">
        <f t="shared" si="17"/>
        <v/>
      </c>
      <c r="W43" s="142">
        <f t="shared" si="18"/>
        <v>190</v>
      </c>
      <c r="X43" s="142" t="str">
        <f t="shared" si="19"/>
        <v/>
      </c>
      <c r="Y43" s="142" t="str">
        <f t="shared" si="20"/>
        <v/>
      </c>
      <c r="Z43" s="142" t="str">
        <f t="shared" si="21"/>
        <v/>
      </c>
      <c r="AA43" s="9" t="s">
        <v>75</v>
      </c>
      <c r="AB43" s="9"/>
      <c r="AC43" s="9"/>
      <c r="AD43" s="9"/>
      <c r="AE43" s="10"/>
      <c r="AF43" s="143" t="s">
        <v>76</v>
      </c>
      <c r="AH43" s="8"/>
      <c r="AI43" s="8">
        <v>15</v>
      </c>
      <c r="AJ43" s="8"/>
      <c r="AK43" s="8"/>
      <c r="AL43" s="8"/>
      <c r="AM43" s="8"/>
      <c r="AN43" s="8">
        <v>30</v>
      </c>
      <c r="AO43" s="8"/>
      <c r="AP43" s="8"/>
      <c r="AQ43" s="8"/>
      <c r="AR43" s="104" t="s">
        <v>647</v>
      </c>
      <c r="AS43" s="8"/>
      <c r="AT43" s="8">
        <v>20</v>
      </c>
      <c r="AU43" s="8"/>
      <c r="AV43" s="8"/>
      <c r="AW43" s="8"/>
      <c r="AX43" s="8"/>
      <c r="AY43" s="8">
        <v>40</v>
      </c>
      <c r="AZ43" s="8"/>
      <c r="BA43" s="8"/>
      <c r="BB43" s="8"/>
    </row>
    <row r="44" spans="1:54" x14ac:dyDescent="0.3">
      <c r="A44" s="5" t="s">
        <v>48</v>
      </c>
      <c r="B44" s="6" t="s">
        <v>34</v>
      </c>
      <c r="C44" s="203" t="s">
        <v>799</v>
      </c>
      <c r="D44" s="7" t="s">
        <v>77</v>
      </c>
      <c r="E44" s="7">
        <f t="array" ref="E44">INDEX(표1[내 책 등급], MATCH(1, (표1[사용자] ='성장 시뮬레이터'!$B$1) * (표1[책이름] = D44), 0))</f>
        <v>10</v>
      </c>
      <c r="F44" s="6" t="s">
        <v>14</v>
      </c>
      <c r="G44" s="142">
        <v>89</v>
      </c>
      <c r="H44" s="8" t="str">
        <f>IF(ISNUMBER(SEARCH("여", F44)), IF('성장 시뮬레이터'!$C$9=2, "O", "X"), "O")</f>
        <v>O</v>
      </c>
      <c r="I44" s="8" t="str">
        <f>IF(OR(ISNUMBER(SEARCH("위나라", F44)), ISNUMBER(SEARCH("촉나라", F44)), ISNUMBER(SEARCH("오나라", F44)), ISNUMBER(SEARCH("군웅", F44))), IF(ISNUMBER(SEARCH('성장 시뮬레이터'!$C$10, F44)), "O", "X"), "O")</f>
        <v>O</v>
      </c>
      <c r="J44" s="8" t="str">
        <f>IF(
    AND(
        H44="O",
        I44="O",
        IF(ISNUMBER(SEARCH("무력+지력", F44)), ('성장 시뮬레이터'!$G$5+'성장 시뮬레이터'!$G$6) &gt;= G44,
           IF(ISNUMBER(SEARCH("무력", F44)), '성장 시뮬레이터'!$G$5 &gt;= G44,
           IF(ISNUMBER(SEARCH("지력", F44)), '성장 시뮬레이터'!$G$6 &gt;= G44,
           IF(ISNUMBER(SEARCH("내력", F44)), '성장 시뮬레이터'!$G$7 &gt;= G44,
           IF(ISNUMBER(SEARCH("체력", F44)), '성장 시뮬레이터'!$G$8 &gt;= G44, FALSE)))))
    ), "O", "X")</f>
        <v>O</v>
      </c>
      <c r="K44" s="106" t="str">
        <f>IF(
    AND(
        H44="O",
        I44="O",
        IF(ISNUMBER(SEARCH("무력+지력", F44)), ('성장 시뮬레이터'!$I$5+'성장 시뮬레이터'!$I$6) &gt;= G44,
           IF(ISNUMBER(SEARCH("무력", F44)), '성장 시뮬레이터'!$I$5 &gt;= G44,
           IF(ISNUMBER(SEARCH("지력", F44)), '성장 시뮬레이터'!$I$6 &gt;= G44,
           IF(ISNUMBER(SEARCH("내력", F44)), '성장 시뮬레이터'!$I$7 &gt;= G44,
           IF(ISNUMBER(SEARCH("체력", F44)), '성장 시뮬레이터'!$I$8 &gt;= G44, FALSE)))))
    ), "O", "X")</f>
        <v>O</v>
      </c>
      <c r="L44" s="106" t="str">
        <f>IF(
    AND(
        H44="O",
        I44="O",
        IF(ISNUMBER(SEARCH("무력+지력", F44)), ('성장 시뮬레이터'!$K$5+'성장 시뮬레이터'!$K$6) &gt;= G44,
           IF(ISNUMBER(SEARCH("무력", F44)), '성장 시뮬레이터'!$K$5 &gt;= G44,
           IF(ISNUMBER(SEARCH("지력", F44)), '성장 시뮬레이터'!$K$6 &gt;= G44,
           IF(ISNUMBER(SEARCH("내력", F44)), '성장 시뮬레이터'!$K$7 &gt;= G44,
           IF(ISNUMBER(SEARCH("체력", F44)), '성장 시뮬레이터'!$K$8 &gt;= G44, FALSE)))))
    ), "O", "X")</f>
        <v>O</v>
      </c>
      <c r="M44" s="106" t="str">
        <f>IF(
    AND(
        H44="O",
        I44="O",
        IF(ISNUMBER(SEARCH("무력+지력", F44)), ('성장 시뮬레이터'!$M$5+'성장 시뮬레이터'!$M$6) &gt;= G44,
           IF(ISNUMBER(SEARCH("무력", F44)), '성장 시뮬레이터'!$M$5 &gt;= G44,
           IF(ISNUMBER(SEARCH("지력", F44)), '성장 시뮬레이터'!$M$6 &gt;= G44,
           IF(ISNUMBER(SEARCH("내력", F44)), '성장 시뮬레이터'!$M$7 &gt;= G44,
           IF(ISNUMBER(SEARCH("체력", F44)), '성장 시뮬레이터'!$M$8 &gt;= G44, FALSE)))))
    ), "O", "X")</f>
        <v>O</v>
      </c>
      <c r="N44" s="106" t="str">
        <f>IF(
    AND(
        H44="O",
        I44="O",
        IF(ISNUMBER(SEARCH("무력+지력", F44)), ('성장 시뮬레이터'!$O$5+'성장 시뮬레이터'!$O$6) &gt;= G44,
           IF(ISNUMBER(SEARCH("무력", F44)), '성장 시뮬레이터'!$O$5 &gt;= G44,
           IF(ISNUMBER(SEARCH("지력", F44)), '성장 시뮬레이터'!$O$6 &gt;= G44,
           IF(ISNUMBER(SEARCH("내력", F44)), '성장 시뮬레이터'!$O$7 &gt;= G44,
           IF(ISNUMBER(SEARCH("체력", F44)), '성장 시뮬레이터'!$O$8 &gt;= G44, FALSE)))))
    ), "O", "X")</f>
        <v>O</v>
      </c>
      <c r="O44" s="106" t="str">
        <f>IF(
    AND(
        H44="O",
        I44="O",
        IF(ISNUMBER(SEARCH("무력+지력", F44)), ('성장 시뮬레이터'!$Q$5+'성장 시뮬레이터'!$Q$6) &gt;= G44,
           IF(ISNUMBER(SEARCH("무력", F44)), '성장 시뮬레이터'!$Q$5 &gt;= G44,
           IF(ISNUMBER(SEARCH("지력", F44)), '성장 시뮬레이터'!$Q$6 &gt;= G44,
           IF(ISNUMBER(SEARCH("내력", F44)), '성장 시뮬레이터'!$Q$7 &gt;= G44,
           IF(ISNUMBER(SEARCH("체력", F44)), '성장 시뮬레이터'!$Q$8 &gt;= G44, FALSE)))))
    ), "O", "X")</f>
        <v>O</v>
      </c>
      <c r="P44" s="106" t="s">
        <v>904</v>
      </c>
      <c r="Q44" s="142" t="str">
        <f t="shared" si="12"/>
        <v/>
      </c>
      <c r="R44" s="142" t="str">
        <f t="shared" si="13"/>
        <v/>
      </c>
      <c r="S44" s="142">
        <f t="shared" si="14"/>
        <v>95</v>
      </c>
      <c r="T44" s="142" t="str">
        <f t="shared" si="15"/>
        <v/>
      </c>
      <c r="U44" s="142" t="str">
        <f t="shared" si="16"/>
        <v/>
      </c>
      <c r="V44" s="142" t="str">
        <f t="shared" si="17"/>
        <v/>
      </c>
      <c r="W44" s="142" t="str">
        <f t="shared" si="18"/>
        <v/>
      </c>
      <c r="X44" s="142" t="str">
        <f t="shared" si="19"/>
        <v/>
      </c>
      <c r="Y44" s="142" t="str">
        <f t="shared" si="20"/>
        <v/>
      </c>
      <c r="Z44" s="142">
        <f t="shared" si="21"/>
        <v>190</v>
      </c>
      <c r="AA44" s="9" t="s">
        <v>78</v>
      </c>
      <c r="AB44" s="9"/>
      <c r="AC44" s="9"/>
      <c r="AD44" s="9"/>
      <c r="AE44" s="10"/>
      <c r="AF44" s="143" t="s">
        <v>79</v>
      </c>
      <c r="AH44" s="8"/>
      <c r="AI44" s="8"/>
      <c r="AJ44" s="8">
        <v>15</v>
      </c>
      <c r="AK44" s="8"/>
      <c r="AL44" s="8"/>
      <c r="AM44" s="8"/>
      <c r="AN44" s="8"/>
      <c r="AO44" s="8"/>
      <c r="AP44" s="8"/>
      <c r="AQ44" s="8">
        <v>30</v>
      </c>
      <c r="AR44" s="104" t="s">
        <v>647</v>
      </c>
      <c r="AS44" s="8"/>
      <c r="AT44" s="8"/>
      <c r="AU44" s="8">
        <v>20</v>
      </c>
      <c r="AV44" s="8"/>
      <c r="AW44" s="8"/>
      <c r="AX44" s="8"/>
      <c r="AY44" s="8"/>
      <c r="AZ44" s="8"/>
      <c r="BA44" s="8"/>
      <c r="BB44" s="8">
        <v>40</v>
      </c>
    </row>
    <row r="45" spans="1:54" x14ac:dyDescent="0.3">
      <c r="A45" s="5" t="s">
        <v>48</v>
      </c>
      <c r="B45" s="6" t="s">
        <v>41</v>
      </c>
      <c r="C45" s="203" t="s">
        <v>799</v>
      </c>
      <c r="D45" s="7" t="s">
        <v>80</v>
      </c>
      <c r="E45" s="7">
        <f t="array" ref="E45">INDEX(표1[내 책 등급], MATCH(1, (표1[사용자] ='성장 시뮬레이터'!$B$1) * (표1[책이름] = D45), 0))</f>
        <v>5</v>
      </c>
      <c r="F45" s="6" t="s">
        <v>14</v>
      </c>
      <c r="G45" s="142">
        <v>81</v>
      </c>
      <c r="H45" s="8" t="str">
        <f>IF(ISNUMBER(SEARCH("여", F45)), IF('성장 시뮬레이터'!$C$9=2, "O", "X"), "O")</f>
        <v>O</v>
      </c>
      <c r="I45" s="8" t="str">
        <f>IF(OR(ISNUMBER(SEARCH("위나라", F45)), ISNUMBER(SEARCH("촉나라", F45)), ISNUMBER(SEARCH("오나라", F45)), ISNUMBER(SEARCH("군웅", F45))), IF(ISNUMBER(SEARCH('성장 시뮬레이터'!$C$10, F45)), "O", "X"), "O")</f>
        <v>O</v>
      </c>
      <c r="J45" s="8" t="str">
        <f>IF(
    AND(
        H45="O",
        I45="O",
        IF(ISNUMBER(SEARCH("무력+지력", F45)), ('성장 시뮬레이터'!$G$5+'성장 시뮬레이터'!$G$6) &gt;= G45,
           IF(ISNUMBER(SEARCH("무력", F45)), '성장 시뮬레이터'!$G$5 &gt;= G45,
           IF(ISNUMBER(SEARCH("지력", F45)), '성장 시뮬레이터'!$G$6 &gt;= G45,
           IF(ISNUMBER(SEARCH("내력", F45)), '성장 시뮬레이터'!$G$7 &gt;= G45,
           IF(ISNUMBER(SEARCH("체력", F45)), '성장 시뮬레이터'!$G$8 &gt;= G45, FALSE)))))
    ), "O", "X")</f>
        <v>O</v>
      </c>
      <c r="K45" s="106" t="str">
        <f>IF(
    AND(
        H45="O",
        I45="O",
        IF(ISNUMBER(SEARCH("무력+지력", F45)), ('성장 시뮬레이터'!$I$5+'성장 시뮬레이터'!$I$6) &gt;= G45,
           IF(ISNUMBER(SEARCH("무력", F45)), '성장 시뮬레이터'!$I$5 &gt;= G45,
           IF(ISNUMBER(SEARCH("지력", F45)), '성장 시뮬레이터'!$I$6 &gt;= G45,
           IF(ISNUMBER(SEARCH("내력", F45)), '성장 시뮬레이터'!$I$7 &gt;= G45,
           IF(ISNUMBER(SEARCH("체력", F45)), '성장 시뮬레이터'!$I$8 &gt;= G45, FALSE)))))
    ), "O", "X")</f>
        <v>O</v>
      </c>
      <c r="L45" s="106" t="str">
        <f>IF(
    AND(
        H45="O",
        I45="O",
        IF(ISNUMBER(SEARCH("무력+지력", F45)), ('성장 시뮬레이터'!$K$5+'성장 시뮬레이터'!$K$6) &gt;= G45,
           IF(ISNUMBER(SEARCH("무력", F45)), '성장 시뮬레이터'!$K$5 &gt;= G45,
           IF(ISNUMBER(SEARCH("지력", F45)), '성장 시뮬레이터'!$K$6 &gt;= G45,
           IF(ISNUMBER(SEARCH("내력", F45)), '성장 시뮬레이터'!$K$7 &gt;= G45,
           IF(ISNUMBER(SEARCH("체력", F45)), '성장 시뮬레이터'!$K$8 &gt;= G45, FALSE)))))
    ), "O", "X")</f>
        <v>O</v>
      </c>
      <c r="M45" s="106" t="str">
        <f>IF(
    AND(
        H45="O",
        I45="O",
        IF(ISNUMBER(SEARCH("무력+지력", F45)), ('성장 시뮬레이터'!$M$5+'성장 시뮬레이터'!$M$6) &gt;= G45,
           IF(ISNUMBER(SEARCH("무력", F45)), '성장 시뮬레이터'!$M$5 &gt;= G45,
           IF(ISNUMBER(SEARCH("지력", F45)), '성장 시뮬레이터'!$M$6 &gt;= G45,
           IF(ISNUMBER(SEARCH("내력", F45)), '성장 시뮬레이터'!$M$7 &gt;= G45,
           IF(ISNUMBER(SEARCH("체력", F45)), '성장 시뮬레이터'!$M$8 &gt;= G45, FALSE)))))
    ), "O", "X")</f>
        <v>O</v>
      </c>
      <c r="N45" s="106" t="str">
        <f>IF(
    AND(
        H45="O",
        I45="O",
        IF(ISNUMBER(SEARCH("무력+지력", F45)), ('성장 시뮬레이터'!$O$5+'성장 시뮬레이터'!$O$6) &gt;= G45,
           IF(ISNUMBER(SEARCH("무력", F45)), '성장 시뮬레이터'!$O$5 &gt;= G45,
           IF(ISNUMBER(SEARCH("지력", F45)), '성장 시뮬레이터'!$O$6 &gt;= G45,
           IF(ISNUMBER(SEARCH("내력", F45)), '성장 시뮬레이터'!$O$7 &gt;= G45,
           IF(ISNUMBER(SEARCH("체력", F45)), '성장 시뮬레이터'!$O$8 &gt;= G45, FALSE)))))
    ), "O", "X")</f>
        <v>O</v>
      </c>
      <c r="O45" s="106" t="str">
        <f>IF(
    AND(
        H45="O",
        I45="O",
        IF(ISNUMBER(SEARCH("무력+지력", F45)), ('성장 시뮬레이터'!$Q$5+'성장 시뮬레이터'!$Q$6) &gt;= G45,
           IF(ISNUMBER(SEARCH("무력", F45)), '성장 시뮬레이터'!$Q$5 &gt;= G45,
           IF(ISNUMBER(SEARCH("지력", F45)), '성장 시뮬레이터'!$Q$6 &gt;= G45,
           IF(ISNUMBER(SEARCH("내력", F45)), '성장 시뮬레이터'!$Q$7 &gt;= G45,
           IF(ISNUMBER(SEARCH("체력", F45)), '성장 시뮬레이터'!$Q$8 &gt;= G45, FALSE)))))
    ), "O", "X")</f>
        <v>O</v>
      </c>
      <c r="P45" s="106" t="s">
        <v>904</v>
      </c>
      <c r="Q45" s="142" t="str">
        <f t="shared" si="12"/>
        <v/>
      </c>
      <c r="R45" s="142" t="str">
        <f t="shared" si="13"/>
        <v/>
      </c>
      <c r="S45" s="142" t="str">
        <f t="shared" si="14"/>
        <v/>
      </c>
      <c r="T45" s="142" t="str">
        <f t="shared" si="15"/>
        <v/>
      </c>
      <c r="U45" s="142" t="str">
        <f t="shared" si="16"/>
        <v/>
      </c>
      <c r="V45" s="142" t="str">
        <f t="shared" si="17"/>
        <v/>
      </c>
      <c r="W45" s="142">
        <f t="shared" si="18"/>
        <v>50</v>
      </c>
      <c r="X45" s="142" t="str">
        <f t="shared" si="19"/>
        <v/>
      </c>
      <c r="Y45" s="142" t="str">
        <f t="shared" si="20"/>
        <v/>
      </c>
      <c r="Z45" s="142" t="str">
        <f t="shared" si="21"/>
        <v/>
      </c>
      <c r="AA45" s="9" t="s">
        <v>656</v>
      </c>
      <c r="AB45" s="9" t="s">
        <v>43</v>
      </c>
      <c r="AC45" s="9" t="s">
        <v>43</v>
      </c>
      <c r="AD45" s="9" t="s">
        <v>43</v>
      </c>
      <c r="AE45" s="10" t="s">
        <v>43</v>
      </c>
      <c r="AF45" s="143" t="s">
        <v>43</v>
      </c>
      <c r="AH45" s="8"/>
      <c r="AI45" s="8"/>
      <c r="AJ45" s="8"/>
      <c r="AK45" s="8"/>
      <c r="AL45" s="8"/>
      <c r="AM45" s="8"/>
      <c r="AN45" s="8">
        <v>50</v>
      </c>
      <c r="AO45" s="8"/>
      <c r="AP45" s="8"/>
      <c r="AQ45" s="8"/>
      <c r="AR45" s="103"/>
      <c r="AS45" s="8" t="str">
        <f>IF(OR(표1_3[[#This Row],[등급]]="명서",(표1_3[[#This Row],[등급]]="고급")),IF(AH45="","",AH45*$AR45),"")</f>
        <v/>
      </c>
      <c r="AT45" s="8" t="str">
        <f>IF(OR(표1_3[[#This Row],[등급]]="명서",(표1_3[[#This Row],[등급]]="고급")),IF(AI45="","",AI45*$AR45),"")</f>
        <v/>
      </c>
      <c r="AU45" s="8" t="str">
        <f>IF(OR(표1_3[[#This Row],[등급]]="명서",(표1_3[[#This Row],[등급]]="고급")),IF(AJ45="","",AJ45*$AR45),"")</f>
        <v/>
      </c>
      <c r="AV45" s="8" t="str">
        <f>IF(OR(표1_3[[#This Row],[등급]]="명서",(표1_3[[#This Row],[등급]]="고급")),IF(AK45="","",AK45*$AR45),"")</f>
        <v/>
      </c>
      <c r="AW45" s="8" t="str">
        <f>IF(OR(표1_3[[#This Row],[등급]]="명서",(표1_3[[#This Row],[등급]]="고급")),IF(AL45="","",AL45*$AR45),"")</f>
        <v/>
      </c>
      <c r="AX45" s="8" t="str">
        <f>IF(OR(표1_3[[#This Row],[등급]]="명서",(표1_3[[#This Row],[등급]]="고급")),IF(AM45="","",AM45*$AR45),"")</f>
        <v/>
      </c>
      <c r="AY45" s="8" t="str">
        <f>IF(OR(표1_3[[#This Row],[등급]]="명서",(표1_3[[#This Row],[등급]]="고급")),IF(AN45="","",AN45*$AR45),"")</f>
        <v/>
      </c>
      <c r="AZ45" s="8" t="str">
        <f>IF(OR(표1_3[[#This Row],[등급]]="명서",(표1_3[[#This Row],[등급]]="고급")),IF(AO45="","",AO45*$AR45),"")</f>
        <v/>
      </c>
      <c r="BA45" s="8" t="str">
        <f>IF(OR(표1_3[[#This Row],[등급]]="명서",(표1_3[[#This Row],[등급]]="고급")),IF(AP45="","",AP45*$AR45),"")</f>
        <v/>
      </c>
      <c r="BB45" s="8" t="str">
        <f>IF(OR(표1_3[[#This Row],[등급]]="명서",(표1_3[[#This Row],[등급]]="고급")),IF(AQ45="","",AQ45*$AR45),"")</f>
        <v/>
      </c>
    </row>
    <row r="46" spans="1:54" x14ac:dyDescent="0.3">
      <c r="A46" s="5" t="s">
        <v>48</v>
      </c>
      <c r="B46" s="6" t="s">
        <v>41</v>
      </c>
      <c r="C46" s="203" t="s">
        <v>799</v>
      </c>
      <c r="D46" s="7" t="s">
        <v>81</v>
      </c>
      <c r="E46" s="7">
        <f t="array" ref="E46">INDEX(표1[내 책 등급], MATCH(1, (표1[사용자] ='성장 시뮬레이터'!$B$1) * (표1[책이름] = D46), 0))</f>
        <v>5</v>
      </c>
      <c r="F46" s="6" t="s">
        <v>14</v>
      </c>
      <c r="G46" s="142">
        <v>81</v>
      </c>
      <c r="H46" s="8" t="str">
        <f>IF(ISNUMBER(SEARCH("여", F46)), IF('성장 시뮬레이터'!$C$9=2, "O", "X"), "O")</f>
        <v>O</v>
      </c>
      <c r="I46" s="8" t="str">
        <f>IF(OR(ISNUMBER(SEARCH("위나라", F46)), ISNUMBER(SEARCH("촉나라", F46)), ISNUMBER(SEARCH("오나라", F46)), ISNUMBER(SEARCH("군웅", F46))), IF(ISNUMBER(SEARCH('성장 시뮬레이터'!$C$10, F46)), "O", "X"), "O")</f>
        <v>O</v>
      </c>
      <c r="J46" s="8" t="str">
        <f>IF(
    AND(
        H46="O",
        I46="O",
        IF(ISNUMBER(SEARCH("무력+지력", F46)), ('성장 시뮬레이터'!$G$5+'성장 시뮬레이터'!$G$6) &gt;= G46,
           IF(ISNUMBER(SEARCH("무력", F46)), '성장 시뮬레이터'!$G$5 &gt;= G46,
           IF(ISNUMBER(SEARCH("지력", F46)), '성장 시뮬레이터'!$G$6 &gt;= G46,
           IF(ISNUMBER(SEARCH("내력", F46)), '성장 시뮬레이터'!$G$7 &gt;= G46,
           IF(ISNUMBER(SEARCH("체력", F46)), '성장 시뮬레이터'!$G$8 &gt;= G46, FALSE)))))
    ), "O", "X")</f>
        <v>O</v>
      </c>
      <c r="K46" s="106" t="str">
        <f>IF(
    AND(
        H46="O",
        I46="O",
        IF(ISNUMBER(SEARCH("무력+지력", F46)), ('성장 시뮬레이터'!$I$5+'성장 시뮬레이터'!$I$6) &gt;= G46,
           IF(ISNUMBER(SEARCH("무력", F46)), '성장 시뮬레이터'!$I$5 &gt;= G46,
           IF(ISNUMBER(SEARCH("지력", F46)), '성장 시뮬레이터'!$I$6 &gt;= G46,
           IF(ISNUMBER(SEARCH("내력", F46)), '성장 시뮬레이터'!$I$7 &gt;= G46,
           IF(ISNUMBER(SEARCH("체력", F46)), '성장 시뮬레이터'!$I$8 &gt;= G46, FALSE)))))
    ), "O", "X")</f>
        <v>O</v>
      </c>
      <c r="L46" s="106" t="str">
        <f>IF(
    AND(
        H46="O",
        I46="O",
        IF(ISNUMBER(SEARCH("무력+지력", F46)), ('성장 시뮬레이터'!$K$5+'성장 시뮬레이터'!$K$6) &gt;= G46,
           IF(ISNUMBER(SEARCH("무력", F46)), '성장 시뮬레이터'!$K$5 &gt;= G46,
           IF(ISNUMBER(SEARCH("지력", F46)), '성장 시뮬레이터'!$K$6 &gt;= G46,
           IF(ISNUMBER(SEARCH("내력", F46)), '성장 시뮬레이터'!$K$7 &gt;= G46,
           IF(ISNUMBER(SEARCH("체력", F46)), '성장 시뮬레이터'!$K$8 &gt;= G46, FALSE)))))
    ), "O", "X")</f>
        <v>O</v>
      </c>
      <c r="M46" s="106" t="str">
        <f>IF(
    AND(
        H46="O",
        I46="O",
        IF(ISNUMBER(SEARCH("무력+지력", F46)), ('성장 시뮬레이터'!$M$5+'성장 시뮬레이터'!$M$6) &gt;= G46,
           IF(ISNUMBER(SEARCH("무력", F46)), '성장 시뮬레이터'!$M$5 &gt;= G46,
           IF(ISNUMBER(SEARCH("지력", F46)), '성장 시뮬레이터'!$M$6 &gt;= G46,
           IF(ISNUMBER(SEARCH("내력", F46)), '성장 시뮬레이터'!$M$7 &gt;= G46,
           IF(ISNUMBER(SEARCH("체력", F46)), '성장 시뮬레이터'!$M$8 &gt;= G46, FALSE)))))
    ), "O", "X")</f>
        <v>O</v>
      </c>
      <c r="N46" s="106" t="str">
        <f>IF(
    AND(
        H46="O",
        I46="O",
        IF(ISNUMBER(SEARCH("무력+지력", F46)), ('성장 시뮬레이터'!$O$5+'성장 시뮬레이터'!$O$6) &gt;= G46,
           IF(ISNUMBER(SEARCH("무력", F46)), '성장 시뮬레이터'!$O$5 &gt;= G46,
           IF(ISNUMBER(SEARCH("지력", F46)), '성장 시뮬레이터'!$O$6 &gt;= G46,
           IF(ISNUMBER(SEARCH("내력", F46)), '성장 시뮬레이터'!$O$7 &gt;= G46,
           IF(ISNUMBER(SEARCH("체력", F46)), '성장 시뮬레이터'!$O$8 &gt;= G46, FALSE)))))
    ), "O", "X")</f>
        <v>O</v>
      </c>
      <c r="O46" s="106" t="str">
        <f>IF(
    AND(
        H46="O",
        I46="O",
        IF(ISNUMBER(SEARCH("무력+지력", F46)), ('성장 시뮬레이터'!$Q$5+'성장 시뮬레이터'!$Q$6) &gt;= G46,
           IF(ISNUMBER(SEARCH("무력", F46)), '성장 시뮬레이터'!$Q$5 &gt;= G46,
           IF(ISNUMBER(SEARCH("지력", F46)), '성장 시뮬레이터'!$Q$6 &gt;= G46,
           IF(ISNUMBER(SEARCH("내력", F46)), '성장 시뮬레이터'!$Q$7 &gt;= G46,
           IF(ISNUMBER(SEARCH("체력", F46)), '성장 시뮬레이터'!$Q$8 &gt;= G46, FALSE)))))
    ), "O", "X")</f>
        <v>O</v>
      </c>
      <c r="P46" s="106" t="s">
        <v>904</v>
      </c>
      <c r="Q46" s="142" t="str">
        <f t="shared" si="12"/>
        <v/>
      </c>
      <c r="R46" s="142" t="str">
        <f t="shared" si="13"/>
        <v/>
      </c>
      <c r="S46" s="142" t="str">
        <f t="shared" si="14"/>
        <v/>
      </c>
      <c r="T46" s="142" t="str">
        <f t="shared" si="15"/>
        <v/>
      </c>
      <c r="U46" s="142" t="str">
        <f t="shared" si="16"/>
        <v/>
      </c>
      <c r="V46" s="142" t="str">
        <f t="shared" si="17"/>
        <v/>
      </c>
      <c r="W46" s="142" t="str">
        <f t="shared" si="18"/>
        <v/>
      </c>
      <c r="X46" s="142" t="str">
        <f t="shared" si="19"/>
        <v/>
      </c>
      <c r="Y46" s="142" t="str">
        <f t="shared" si="20"/>
        <v/>
      </c>
      <c r="Z46" s="142">
        <f t="shared" si="21"/>
        <v>50</v>
      </c>
      <c r="AA46" s="9" t="s">
        <v>657</v>
      </c>
      <c r="AB46" s="9" t="s">
        <v>43</v>
      </c>
      <c r="AC46" s="9" t="s">
        <v>43</v>
      </c>
      <c r="AD46" s="9" t="s">
        <v>43</v>
      </c>
      <c r="AE46" s="10" t="s">
        <v>43</v>
      </c>
      <c r="AF46" s="143" t="s">
        <v>43</v>
      </c>
      <c r="AH46" s="8"/>
      <c r="AI46" s="8"/>
      <c r="AJ46" s="8"/>
      <c r="AK46" s="8"/>
      <c r="AL46" s="8"/>
      <c r="AM46" s="8"/>
      <c r="AN46" s="8"/>
      <c r="AO46" s="8"/>
      <c r="AP46" s="8"/>
      <c r="AQ46" s="8">
        <v>50</v>
      </c>
      <c r="AR46" s="103"/>
      <c r="AS46" s="8" t="str">
        <f>IF(OR(표1_3[[#This Row],[등급]]="명서",(표1_3[[#This Row],[등급]]="고급")),IF(AH46="","",AH46*$AR46),"")</f>
        <v/>
      </c>
      <c r="AT46" s="8" t="str">
        <f>IF(OR(표1_3[[#This Row],[등급]]="명서",(표1_3[[#This Row],[등급]]="고급")),IF(AI46="","",AI46*$AR46),"")</f>
        <v/>
      </c>
      <c r="AU46" s="8" t="str">
        <f>IF(OR(표1_3[[#This Row],[등급]]="명서",(표1_3[[#This Row],[등급]]="고급")),IF(AJ46="","",AJ46*$AR46),"")</f>
        <v/>
      </c>
      <c r="AV46" s="8" t="str">
        <f>IF(OR(표1_3[[#This Row],[등급]]="명서",(표1_3[[#This Row],[등급]]="고급")),IF(AK46="","",AK46*$AR46),"")</f>
        <v/>
      </c>
      <c r="AW46" s="8" t="str">
        <f>IF(OR(표1_3[[#This Row],[등급]]="명서",(표1_3[[#This Row],[등급]]="고급")),IF(AL46="","",AL46*$AR46),"")</f>
        <v/>
      </c>
      <c r="AX46" s="8" t="str">
        <f>IF(OR(표1_3[[#This Row],[등급]]="명서",(표1_3[[#This Row],[등급]]="고급")),IF(AM46="","",AM46*$AR46),"")</f>
        <v/>
      </c>
      <c r="AY46" s="8" t="str">
        <f>IF(OR(표1_3[[#This Row],[등급]]="명서",(표1_3[[#This Row],[등급]]="고급")),IF(AN46="","",AN46*$AR46),"")</f>
        <v/>
      </c>
      <c r="AZ46" s="8" t="str">
        <f>IF(OR(표1_3[[#This Row],[등급]]="명서",(표1_3[[#This Row],[등급]]="고급")),IF(AO46="","",AO46*$AR46),"")</f>
        <v/>
      </c>
      <c r="BA46" s="8" t="str">
        <f>IF(OR(표1_3[[#This Row],[등급]]="명서",(표1_3[[#This Row],[등급]]="고급")),IF(AP46="","",AP46*$AR46),"")</f>
        <v/>
      </c>
      <c r="BB46" s="8" t="str">
        <f>IF(OR(표1_3[[#This Row],[등급]]="명서",(표1_3[[#This Row],[등급]]="고급")),IF(AQ46="","",AQ46*$AR46),"")</f>
        <v/>
      </c>
    </row>
    <row r="47" spans="1:54" x14ac:dyDescent="0.3">
      <c r="A47" s="5" t="s">
        <v>48</v>
      </c>
      <c r="B47" s="6" t="s">
        <v>46</v>
      </c>
      <c r="C47" s="203" t="s">
        <v>799</v>
      </c>
      <c r="D47" s="7" t="s">
        <v>82</v>
      </c>
      <c r="E47" s="7">
        <f t="array" ref="E47">INDEX(표1[내 책 등급], MATCH(1, (표1[사용자] ='성장 시뮬레이터'!$B$1) * (표1[책이름] = D47), 0))</f>
        <v>4</v>
      </c>
      <c r="F47" s="6" t="s">
        <v>14</v>
      </c>
      <c r="G47" s="142">
        <v>81</v>
      </c>
      <c r="H47" s="8" t="str">
        <f>IF(ISNUMBER(SEARCH("여", F47)), IF('성장 시뮬레이터'!$C$9=2, "O", "X"), "O")</f>
        <v>O</v>
      </c>
      <c r="I47" s="8" t="str">
        <f>IF(OR(ISNUMBER(SEARCH("위나라", F47)), ISNUMBER(SEARCH("촉나라", F47)), ISNUMBER(SEARCH("오나라", F47)), ISNUMBER(SEARCH("군웅", F47))), IF(ISNUMBER(SEARCH('성장 시뮬레이터'!$C$10, F47)), "O", "X"), "O")</f>
        <v>O</v>
      </c>
      <c r="J47" s="8" t="str">
        <f>IF(
    AND(
        H47="O",
        I47="O",
        IF(ISNUMBER(SEARCH("무력+지력", F47)), ('성장 시뮬레이터'!$G$5+'성장 시뮬레이터'!$G$6) &gt;= G47,
           IF(ISNUMBER(SEARCH("무력", F47)), '성장 시뮬레이터'!$G$5 &gt;= G47,
           IF(ISNUMBER(SEARCH("지력", F47)), '성장 시뮬레이터'!$G$6 &gt;= G47,
           IF(ISNUMBER(SEARCH("내력", F47)), '성장 시뮬레이터'!$G$7 &gt;= G47,
           IF(ISNUMBER(SEARCH("체력", F47)), '성장 시뮬레이터'!$G$8 &gt;= G47, FALSE)))))
    ), "O", "X")</f>
        <v>O</v>
      </c>
      <c r="K47" s="106" t="str">
        <f>IF(
    AND(
        H47="O",
        I47="O",
        IF(ISNUMBER(SEARCH("무력+지력", F47)), ('성장 시뮬레이터'!$I$5+'성장 시뮬레이터'!$I$6) &gt;= G47,
           IF(ISNUMBER(SEARCH("무력", F47)), '성장 시뮬레이터'!$I$5 &gt;= G47,
           IF(ISNUMBER(SEARCH("지력", F47)), '성장 시뮬레이터'!$I$6 &gt;= G47,
           IF(ISNUMBER(SEARCH("내력", F47)), '성장 시뮬레이터'!$I$7 &gt;= G47,
           IF(ISNUMBER(SEARCH("체력", F47)), '성장 시뮬레이터'!$I$8 &gt;= G47, FALSE)))))
    ), "O", "X")</f>
        <v>O</v>
      </c>
      <c r="L47" s="106" t="str">
        <f>IF(
    AND(
        H47="O",
        I47="O",
        IF(ISNUMBER(SEARCH("무력+지력", F47)), ('성장 시뮬레이터'!$K$5+'성장 시뮬레이터'!$K$6) &gt;= G47,
           IF(ISNUMBER(SEARCH("무력", F47)), '성장 시뮬레이터'!$K$5 &gt;= G47,
           IF(ISNUMBER(SEARCH("지력", F47)), '성장 시뮬레이터'!$K$6 &gt;= G47,
           IF(ISNUMBER(SEARCH("내력", F47)), '성장 시뮬레이터'!$K$7 &gt;= G47,
           IF(ISNUMBER(SEARCH("체력", F47)), '성장 시뮬레이터'!$K$8 &gt;= G47, FALSE)))))
    ), "O", "X")</f>
        <v>O</v>
      </c>
      <c r="M47" s="106" t="str">
        <f>IF(
    AND(
        H47="O",
        I47="O",
        IF(ISNUMBER(SEARCH("무력+지력", F47)), ('성장 시뮬레이터'!$M$5+'성장 시뮬레이터'!$M$6) &gt;= G47,
           IF(ISNUMBER(SEARCH("무력", F47)), '성장 시뮬레이터'!$M$5 &gt;= G47,
           IF(ISNUMBER(SEARCH("지력", F47)), '성장 시뮬레이터'!$M$6 &gt;= G47,
           IF(ISNUMBER(SEARCH("내력", F47)), '성장 시뮬레이터'!$M$7 &gt;= G47,
           IF(ISNUMBER(SEARCH("체력", F47)), '성장 시뮬레이터'!$M$8 &gt;= G47, FALSE)))))
    ), "O", "X")</f>
        <v>O</v>
      </c>
      <c r="N47" s="106" t="str">
        <f>IF(
    AND(
        H47="O",
        I47="O",
        IF(ISNUMBER(SEARCH("무력+지력", F47)), ('성장 시뮬레이터'!$O$5+'성장 시뮬레이터'!$O$6) &gt;= G47,
           IF(ISNUMBER(SEARCH("무력", F47)), '성장 시뮬레이터'!$O$5 &gt;= G47,
           IF(ISNUMBER(SEARCH("지력", F47)), '성장 시뮬레이터'!$O$6 &gt;= G47,
           IF(ISNUMBER(SEARCH("내력", F47)), '성장 시뮬레이터'!$O$7 &gt;= G47,
           IF(ISNUMBER(SEARCH("체력", F47)), '성장 시뮬레이터'!$O$8 &gt;= G47, FALSE)))))
    ), "O", "X")</f>
        <v>O</v>
      </c>
      <c r="O47" s="106" t="str">
        <f>IF(
    AND(
        H47="O",
        I47="O",
        IF(ISNUMBER(SEARCH("무력+지력", F47)), ('성장 시뮬레이터'!$Q$5+'성장 시뮬레이터'!$Q$6) &gt;= G47,
           IF(ISNUMBER(SEARCH("무력", F47)), '성장 시뮬레이터'!$Q$5 &gt;= G47,
           IF(ISNUMBER(SEARCH("지력", F47)), '성장 시뮬레이터'!$Q$6 &gt;= G47,
           IF(ISNUMBER(SEARCH("내력", F47)), '성장 시뮬레이터'!$Q$7 &gt;= G47,
           IF(ISNUMBER(SEARCH("체력", F47)), '성장 시뮬레이터'!$Q$8 &gt;= G47, FALSE)))))
    ), "O", "X")</f>
        <v>O</v>
      </c>
      <c r="P47" s="106" t="s">
        <v>904</v>
      </c>
      <c r="Q47" s="142" t="str">
        <f t="shared" si="12"/>
        <v/>
      </c>
      <c r="R47" s="142" t="str">
        <f t="shared" si="13"/>
        <v/>
      </c>
      <c r="S47" s="142" t="str">
        <f t="shared" si="14"/>
        <v/>
      </c>
      <c r="T47" s="142" t="str">
        <f t="shared" si="15"/>
        <v/>
      </c>
      <c r="U47" s="142" t="str">
        <f t="shared" si="16"/>
        <v/>
      </c>
      <c r="V47" s="142" t="str">
        <f t="shared" si="17"/>
        <v/>
      </c>
      <c r="W47" s="142">
        <f t="shared" si="18"/>
        <v>30</v>
      </c>
      <c r="X47" s="142" t="str">
        <f t="shared" si="19"/>
        <v/>
      </c>
      <c r="Y47" s="142" t="str">
        <f t="shared" si="20"/>
        <v/>
      </c>
      <c r="Z47" s="142" t="str">
        <f t="shared" si="21"/>
        <v/>
      </c>
      <c r="AA47" s="9" t="s">
        <v>643</v>
      </c>
      <c r="AB47" s="9" t="s">
        <v>43</v>
      </c>
      <c r="AC47" s="9" t="s">
        <v>43</v>
      </c>
      <c r="AD47" s="9" t="s">
        <v>43</v>
      </c>
      <c r="AE47" s="10" t="s">
        <v>43</v>
      </c>
      <c r="AF47" s="143" t="s">
        <v>43</v>
      </c>
      <c r="AH47" s="8"/>
      <c r="AI47" s="8"/>
      <c r="AJ47" s="8"/>
      <c r="AK47" s="8"/>
      <c r="AL47" s="8"/>
      <c r="AM47" s="8"/>
      <c r="AN47" s="8">
        <v>30</v>
      </c>
      <c r="AO47" s="8"/>
      <c r="AP47" s="8"/>
      <c r="AQ47" s="8"/>
      <c r="AR47" s="103"/>
      <c r="AS47" s="8" t="str">
        <f>IF(OR(표1_3[[#This Row],[등급]]="명서",(표1_3[[#This Row],[등급]]="고급")),IF(AH47="","",AH47*$AR47),"")</f>
        <v/>
      </c>
      <c r="AT47" s="8" t="str">
        <f>IF(OR(표1_3[[#This Row],[등급]]="명서",(표1_3[[#This Row],[등급]]="고급")),IF(AI47="","",AI47*$AR47),"")</f>
        <v/>
      </c>
      <c r="AU47" s="8" t="str">
        <f>IF(OR(표1_3[[#This Row],[등급]]="명서",(표1_3[[#This Row],[등급]]="고급")),IF(AJ47="","",AJ47*$AR47),"")</f>
        <v/>
      </c>
      <c r="AV47" s="8" t="str">
        <f>IF(OR(표1_3[[#This Row],[등급]]="명서",(표1_3[[#This Row],[등급]]="고급")),IF(AK47="","",AK47*$AR47),"")</f>
        <v/>
      </c>
      <c r="AW47" s="8" t="str">
        <f>IF(OR(표1_3[[#This Row],[등급]]="명서",(표1_3[[#This Row],[등급]]="고급")),IF(AL47="","",AL47*$AR47),"")</f>
        <v/>
      </c>
      <c r="AX47" s="8" t="str">
        <f>IF(OR(표1_3[[#This Row],[등급]]="명서",(표1_3[[#This Row],[등급]]="고급")),IF(AM47="","",AM47*$AR47),"")</f>
        <v/>
      </c>
      <c r="AY47" s="8" t="str">
        <f>IF(OR(표1_3[[#This Row],[등급]]="명서",(표1_3[[#This Row],[등급]]="고급")),IF(AN47="","",AN47*$AR47),"")</f>
        <v/>
      </c>
      <c r="AZ47" s="8" t="str">
        <f>IF(OR(표1_3[[#This Row],[등급]]="명서",(표1_3[[#This Row],[등급]]="고급")),IF(AO47="","",AO47*$AR47),"")</f>
        <v/>
      </c>
      <c r="BA47" s="8" t="str">
        <f>IF(OR(표1_3[[#This Row],[등급]]="명서",(표1_3[[#This Row],[등급]]="고급")),IF(AP47="","",AP47*$AR47),"")</f>
        <v/>
      </c>
      <c r="BB47" s="8" t="str">
        <f>IF(OR(표1_3[[#This Row],[등급]]="명서",(표1_3[[#This Row],[등급]]="고급")),IF(AQ47="","",AQ47*$AR47),"")</f>
        <v/>
      </c>
    </row>
    <row r="48" spans="1:54" x14ac:dyDescent="0.3">
      <c r="A48" s="5" t="s">
        <v>83</v>
      </c>
      <c r="B48" s="6" t="s">
        <v>12</v>
      </c>
      <c r="C48" s="203" t="s">
        <v>799</v>
      </c>
      <c r="D48" s="7" t="s">
        <v>84</v>
      </c>
      <c r="E48" s="7">
        <f t="array" ref="E48">INDEX(표1[내 책 등급], MATCH(1, (표1[사용자] ='성장 시뮬레이터'!$B$1) * (표1[책이름] = D48), 0))</f>
        <v>10</v>
      </c>
      <c r="F48" s="6" t="s">
        <v>14</v>
      </c>
      <c r="G48" s="142">
        <v>104</v>
      </c>
      <c r="H48" s="8" t="str">
        <f>IF(ISNUMBER(SEARCH("여", F48)), IF('성장 시뮬레이터'!$C$9=2, "O", "X"), "O")</f>
        <v>O</v>
      </c>
      <c r="I48" s="8" t="str">
        <f>IF(OR(ISNUMBER(SEARCH("위나라", F48)), ISNUMBER(SEARCH("촉나라", F48)), ISNUMBER(SEARCH("오나라", F48)), ISNUMBER(SEARCH("군웅", F48))), IF(ISNUMBER(SEARCH('성장 시뮬레이터'!$C$10, F48)), "O", "X"), "O")</f>
        <v>O</v>
      </c>
      <c r="J48" s="8" t="str">
        <f>IF(
    AND(
        H48="O",
        I48="O",
        IF(ISNUMBER(SEARCH("무력+지력", F48)), ('성장 시뮬레이터'!$G$5+'성장 시뮬레이터'!$G$6) &gt;= G48,
           IF(ISNUMBER(SEARCH("무력", F48)), '성장 시뮬레이터'!$G$5 &gt;= G48,
           IF(ISNUMBER(SEARCH("지력", F48)), '성장 시뮬레이터'!$G$6 &gt;= G48,
           IF(ISNUMBER(SEARCH("내력", F48)), '성장 시뮬레이터'!$G$7 &gt;= G48,
           IF(ISNUMBER(SEARCH("체력", F48)), '성장 시뮬레이터'!$G$8 &gt;= G48, FALSE)))))
    ), "O", "X")</f>
        <v>X</v>
      </c>
      <c r="K48" s="106" t="str">
        <f>IF(
    AND(
        H48="O",
        I48="O",
        IF(ISNUMBER(SEARCH("무력+지력", F48)), ('성장 시뮬레이터'!$I$5+'성장 시뮬레이터'!$I$6) &gt;= G48,
           IF(ISNUMBER(SEARCH("무력", F48)), '성장 시뮬레이터'!$I$5 &gt;= G48,
           IF(ISNUMBER(SEARCH("지력", F48)), '성장 시뮬레이터'!$I$6 &gt;= G48,
           IF(ISNUMBER(SEARCH("내력", F48)), '성장 시뮬레이터'!$I$7 &gt;= G48,
           IF(ISNUMBER(SEARCH("체력", F48)), '성장 시뮬레이터'!$I$8 &gt;= G48, FALSE)))))
    ), "O", "X")</f>
        <v>O</v>
      </c>
      <c r="L48" s="106" t="str">
        <f>IF(
    AND(
        H48="O",
        I48="O",
        IF(ISNUMBER(SEARCH("무력+지력", F48)), ('성장 시뮬레이터'!$K$5+'성장 시뮬레이터'!$K$6) &gt;= G48,
           IF(ISNUMBER(SEARCH("무력", F48)), '성장 시뮬레이터'!$K$5 &gt;= G48,
           IF(ISNUMBER(SEARCH("지력", F48)), '성장 시뮬레이터'!$K$6 &gt;= G48,
           IF(ISNUMBER(SEARCH("내력", F48)), '성장 시뮬레이터'!$K$7 &gt;= G48,
           IF(ISNUMBER(SEARCH("체력", F48)), '성장 시뮬레이터'!$K$8 &gt;= G48, FALSE)))))
    ), "O", "X")</f>
        <v>O</v>
      </c>
      <c r="M48" s="106" t="str">
        <f>IF(
    AND(
        H48="O",
        I48="O",
        IF(ISNUMBER(SEARCH("무력+지력", F48)), ('성장 시뮬레이터'!$M$5+'성장 시뮬레이터'!$M$6) &gt;= G48,
           IF(ISNUMBER(SEARCH("무력", F48)), '성장 시뮬레이터'!$M$5 &gt;= G48,
           IF(ISNUMBER(SEARCH("지력", F48)), '성장 시뮬레이터'!$M$6 &gt;= G48,
           IF(ISNUMBER(SEARCH("내력", F48)), '성장 시뮬레이터'!$M$7 &gt;= G48,
           IF(ISNUMBER(SEARCH("체력", F48)), '성장 시뮬레이터'!$M$8 &gt;= G48, FALSE)))))
    ), "O", "X")</f>
        <v>O</v>
      </c>
      <c r="N48" s="106" t="str">
        <f>IF(
    AND(
        H48="O",
        I48="O",
        IF(ISNUMBER(SEARCH("무력+지력", F48)), ('성장 시뮬레이터'!$O$5+'성장 시뮬레이터'!$O$6) &gt;= G48,
           IF(ISNUMBER(SEARCH("무력", F48)), '성장 시뮬레이터'!$O$5 &gt;= G48,
           IF(ISNUMBER(SEARCH("지력", F48)), '성장 시뮬레이터'!$O$6 &gt;= G48,
           IF(ISNUMBER(SEARCH("내력", F48)), '성장 시뮬레이터'!$O$7 &gt;= G48,
           IF(ISNUMBER(SEARCH("체력", F48)), '성장 시뮬레이터'!$O$8 &gt;= G48, FALSE)))))
    ), "O", "X")</f>
        <v>O</v>
      </c>
      <c r="O48" s="106" t="str">
        <f>IF(
    AND(
        H48="O",
        I48="O",
        IF(ISNUMBER(SEARCH("무력+지력", F48)), ('성장 시뮬레이터'!$Q$5+'성장 시뮬레이터'!$Q$6) &gt;= G48,
           IF(ISNUMBER(SEARCH("무력", F48)), '성장 시뮬레이터'!$Q$5 &gt;= G48,
           IF(ISNUMBER(SEARCH("지력", F48)), '성장 시뮬레이터'!$Q$6 &gt;= G48,
           IF(ISNUMBER(SEARCH("내력", F48)), '성장 시뮬레이터'!$Q$7 &gt;= G48,
           IF(ISNUMBER(SEARCH("체력", F48)), '성장 시뮬레이터'!$Q$8 &gt;= G48, FALSE)))))
    ), "O", "X")</f>
        <v>O</v>
      </c>
      <c r="P48" s="106" t="s">
        <v>904</v>
      </c>
      <c r="Q48" s="142" t="str">
        <f t="shared" si="12"/>
        <v/>
      </c>
      <c r="R48" s="142" t="str">
        <f t="shared" si="13"/>
        <v/>
      </c>
      <c r="S48" s="142">
        <f t="shared" si="14"/>
        <v>390</v>
      </c>
      <c r="T48" s="142" t="str">
        <f t="shared" si="15"/>
        <v/>
      </c>
      <c r="U48" s="142" t="str">
        <f t="shared" si="16"/>
        <v/>
      </c>
      <c r="V48" s="142" t="str">
        <f t="shared" si="17"/>
        <v/>
      </c>
      <c r="W48" s="142" t="str">
        <f t="shared" si="18"/>
        <v/>
      </c>
      <c r="X48" s="142" t="str">
        <f t="shared" si="19"/>
        <v/>
      </c>
      <c r="Y48" s="142" t="str">
        <f t="shared" si="20"/>
        <v/>
      </c>
      <c r="Z48" s="142">
        <f t="shared" si="21"/>
        <v>195</v>
      </c>
      <c r="AA48" s="9" t="s">
        <v>85</v>
      </c>
      <c r="AB48" s="9"/>
      <c r="AC48" s="9"/>
      <c r="AD48" s="9"/>
      <c r="AE48" s="10"/>
      <c r="AF48" s="143" t="s">
        <v>167</v>
      </c>
      <c r="AH48" s="8"/>
      <c r="AI48" s="8"/>
      <c r="AJ48" s="8">
        <v>60</v>
      </c>
      <c r="AK48" s="8"/>
      <c r="AL48" s="8"/>
      <c r="AM48" s="8"/>
      <c r="AN48" s="8"/>
      <c r="AO48" s="8"/>
      <c r="AP48" s="8"/>
      <c r="AQ48" s="8">
        <v>30</v>
      </c>
      <c r="AR48" s="103">
        <v>1.5</v>
      </c>
      <c r="AS48" s="8" t="str">
        <f>IF(OR(표1_3[[#This Row],[등급]]="명서",(표1_3[[#This Row],[등급]]="고급")),IF(AH48="","",AH48*$AR48),"")</f>
        <v/>
      </c>
      <c r="AT48" s="8" t="str">
        <f>IF(OR(표1_3[[#This Row],[등급]]="명서",(표1_3[[#This Row],[등급]]="고급")),IF(AI48="","",AI48*$AR48),"")</f>
        <v/>
      </c>
      <c r="AU48" s="8">
        <f>IF(OR(표1_3[[#This Row],[등급]]="명서",(표1_3[[#This Row],[등급]]="고급")),IF(AJ48="","",AJ48*$AR48),"")</f>
        <v>90</v>
      </c>
      <c r="AV48" s="8" t="str">
        <f>IF(OR(표1_3[[#This Row],[등급]]="명서",(표1_3[[#This Row],[등급]]="고급")),IF(AK48="","",AK48*$AR48),"")</f>
        <v/>
      </c>
      <c r="AW48" s="8" t="str">
        <f>IF(OR(표1_3[[#This Row],[등급]]="명서",(표1_3[[#This Row],[등급]]="고급")),IF(AL48="","",AL48*$AR48),"")</f>
        <v/>
      </c>
      <c r="AX48" s="8" t="str">
        <f>IF(OR(표1_3[[#This Row],[등급]]="명서",(표1_3[[#This Row],[등급]]="고급")),IF(AM48="","",AM48*$AR48),"")</f>
        <v/>
      </c>
      <c r="AY48" s="8" t="str">
        <f>IF(OR(표1_3[[#This Row],[등급]]="명서",(표1_3[[#This Row],[등급]]="고급")),IF(AN48="","",AN48*$AR48),"")</f>
        <v/>
      </c>
      <c r="AZ48" s="8" t="str">
        <f>IF(OR(표1_3[[#This Row],[등급]]="명서",(표1_3[[#This Row],[등급]]="고급")),IF(AO48="","",AO48*$AR48),"")</f>
        <v/>
      </c>
      <c r="BA48" s="8" t="str">
        <f>IF(OR(표1_3[[#This Row],[등급]]="명서",(표1_3[[#This Row],[등급]]="고급")),IF(AP48="","",AP48*$AR48),"")</f>
        <v/>
      </c>
      <c r="BB48" s="8">
        <f>IF(OR(표1_3[[#This Row],[등급]]="명서",(표1_3[[#This Row],[등급]]="고급")),IF(AQ48="","",AQ48*$AR48),"")</f>
        <v>45</v>
      </c>
    </row>
    <row r="49" spans="1:54" x14ac:dyDescent="0.3">
      <c r="A49" s="5" t="s">
        <v>83</v>
      </c>
      <c r="B49" s="6" t="s">
        <v>12</v>
      </c>
      <c r="C49" s="203" t="s">
        <v>799</v>
      </c>
      <c r="D49" s="7" t="s">
        <v>86</v>
      </c>
      <c r="E49" s="7">
        <f t="array" ref="E49">INDEX(표1[내 책 등급], MATCH(1, (표1[사용자] ='성장 시뮬레이터'!$B$1) * (표1[책이름] = D49), 0))</f>
        <v>10</v>
      </c>
      <c r="F49" s="6" t="s">
        <v>21</v>
      </c>
      <c r="G49" s="142">
        <v>95</v>
      </c>
      <c r="H49" s="8" t="str">
        <f>IF(ISNUMBER(SEARCH("여", F49)), IF('성장 시뮬레이터'!$C$9=2, "O", "X"), "O")</f>
        <v>O</v>
      </c>
      <c r="I49" s="8" t="str">
        <f>IF(OR(ISNUMBER(SEARCH("위나라", F49)), ISNUMBER(SEARCH("촉나라", F49)), ISNUMBER(SEARCH("오나라", F49)), ISNUMBER(SEARCH("군웅", F49))), IF(ISNUMBER(SEARCH('성장 시뮬레이터'!$C$10, F49)), "O", "X"), "O")</f>
        <v>O</v>
      </c>
      <c r="J49" s="8" t="str">
        <f>IF(
    AND(
        H49="O",
        I49="O",
        IF(ISNUMBER(SEARCH("무력+지력", F49)), ('성장 시뮬레이터'!$G$5+'성장 시뮬레이터'!$G$6) &gt;= G49,
           IF(ISNUMBER(SEARCH("무력", F49)), '성장 시뮬레이터'!$G$5 &gt;= G49,
           IF(ISNUMBER(SEARCH("지력", F49)), '성장 시뮬레이터'!$G$6 &gt;= G49,
           IF(ISNUMBER(SEARCH("내력", F49)), '성장 시뮬레이터'!$G$7 &gt;= G49,
           IF(ISNUMBER(SEARCH("체력", F49)), '성장 시뮬레이터'!$G$8 &gt;= G49, FALSE)))))
    ), "O", "X")</f>
        <v>X</v>
      </c>
      <c r="K49" s="106" t="str">
        <f>IF(
    AND(
        H49="O",
        I49="O",
        IF(ISNUMBER(SEARCH("무력+지력", F49)), ('성장 시뮬레이터'!$I$5+'성장 시뮬레이터'!$I$6) &gt;= G49,
           IF(ISNUMBER(SEARCH("무력", F49)), '성장 시뮬레이터'!$I$5 &gt;= G49,
           IF(ISNUMBER(SEARCH("지력", F49)), '성장 시뮬레이터'!$I$6 &gt;= G49,
           IF(ISNUMBER(SEARCH("내력", F49)), '성장 시뮬레이터'!$I$7 &gt;= G49,
           IF(ISNUMBER(SEARCH("체력", F49)), '성장 시뮬레이터'!$I$8 &gt;= G49, FALSE)))))
    ), "O", "X")</f>
        <v>X</v>
      </c>
      <c r="L49" s="106" t="str">
        <f>IF(
    AND(
        H49="O",
        I49="O",
        IF(ISNUMBER(SEARCH("무력+지력", F49)), ('성장 시뮬레이터'!$K$5+'성장 시뮬레이터'!$K$6) &gt;= G49,
           IF(ISNUMBER(SEARCH("무력", F49)), '성장 시뮬레이터'!$K$5 &gt;= G49,
           IF(ISNUMBER(SEARCH("지력", F49)), '성장 시뮬레이터'!$K$6 &gt;= G49,
           IF(ISNUMBER(SEARCH("내력", F49)), '성장 시뮬레이터'!$K$7 &gt;= G49,
           IF(ISNUMBER(SEARCH("체력", F49)), '성장 시뮬레이터'!$K$8 &gt;= G49, FALSE)))))
    ), "O", "X")</f>
        <v>X</v>
      </c>
      <c r="M49" s="106" t="str">
        <f>IF(
    AND(
        H49="O",
        I49="O",
        IF(ISNUMBER(SEARCH("무력+지력", F49)), ('성장 시뮬레이터'!$M$5+'성장 시뮬레이터'!$M$6) &gt;= G49,
           IF(ISNUMBER(SEARCH("무력", F49)), '성장 시뮬레이터'!$M$5 &gt;= G49,
           IF(ISNUMBER(SEARCH("지력", F49)), '성장 시뮬레이터'!$M$6 &gt;= G49,
           IF(ISNUMBER(SEARCH("내력", F49)), '성장 시뮬레이터'!$M$7 &gt;= G49,
           IF(ISNUMBER(SEARCH("체력", F49)), '성장 시뮬레이터'!$M$8 &gt;= G49, FALSE)))))
    ), "O", "X")</f>
        <v>X</v>
      </c>
      <c r="N49" s="106" t="str">
        <f>IF(
    AND(
        H49="O",
        I49="O",
        IF(ISNUMBER(SEARCH("무력+지력", F49)), ('성장 시뮬레이터'!$O$5+'성장 시뮬레이터'!$O$6) &gt;= G49,
           IF(ISNUMBER(SEARCH("무력", F49)), '성장 시뮬레이터'!$O$5 &gt;= G49,
           IF(ISNUMBER(SEARCH("지력", F49)), '성장 시뮬레이터'!$O$6 &gt;= G49,
           IF(ISNUMBER(SEARCH("내력", F49)), '성장 시뮬레이터'!$O$7 &gt;= G49,
           IF(ISNUMBER(SEARCH("체력", F49)), '성장 시뮬레이터'!$O$8 &gt;= G49, FALSE)))))
    ), "O", "X")</f>
        <v>X</v>
      </c>
      <c r="O49" s="106" t="str">
        <f>IF(
    AND(
        H49="O",
        I49="O",
        IF(ISNUMBER(SEARCH("무력+지력", F49)), ('성장 시뮬레이터'!$Q$5+'성장 시뮬레이터'!$Q$6) &gt;= G49,
           IF(ISNUMBER(SEARCH("무력", F49)), '성장 시뮬레이터'!$Q$5 &gt;= G49,
           IF(ISNUMBER(SEARCH("지력", F49)), '성장 시뮬레이터'!$Q$6 &gt;= G49,
           IF(ISNUMBER(SEARCH("내력", F49)), '성장 시뮬레이터'!$Q$7 &gt;= G49,
           IF(ISNUMBER(SEARCH("체력", F49)), '성장 시뮬레이터'!$Q$8 &gt;= G49, FALSE)))))
    ), "O", "X")</f>
        <v>X</v>
      </c>
      <c r="P49" s="106" t="s">
        <v>905</v>
      </c>
      <c r="Q49" s="142">
        <f t="shared" si="12"/>
        <v>260</v>
      </c>
      <c r="R49" s="142">
        <f t="shared" si="13"/>
        <v>195</v>
      </c>
      <c r="S49" s="142" t="str">
        <f t="shared" si="14"/>
        <v/>
      </c>
      <c r="T49" s="142">
        <f t="shared" si="15"/>
        <v>130</v>
      </c>
      <c r="U49" s="142" t="str">
        <f t="shared" si="16"/>
        <v/>
      </c>
      <c r="V49" s="142" t="str">
        <f t="shared" si="17"/>
        <v/>
      </c>
      <c r="W49" s="142" t="str">
        <f t="shared" si="18"/>
        <v/>
      </c>
      <c r="X49" s="142" t="str">
        <f t="shared" si="19"/>
        <v/>
      </c>
      <c r="Y49" s="142" t="str">
        <f t="shared" si="20"/>
        <v/>
      </c>
      <c r="Z49" s="142" t="str">
        <f t="shared" si="21"/>
        <v/>
      </c>
      <c r="AA49" s="11" t="s">
        <v>87</v>
      </c>
      <c r="AB49" s="11"/>
      <c r="AC49" s="11"/>
      <c r="AD49" s="11"/>
      <c r="AE49" s="12"/>
      <c r="AF49" s="144" t="s">
        <v>88</v>
      </c>
      <c r="AH49" s="8">
        <v>40</v>
      </c>
      <c r="AI49" s="8">
        <v>30</v>
      </c>
      <c r="AJ49" s="8"/>
      <c r="AK49" s="8">
        <v>20</v>
      </c>
      <c r="AL49" s="8"/>
      <c r="AM49" s="8"/>
      <c r="AN49" s="8"/>
      <c r="AO49" s="8"/>
      <c r="AP49" s="8"/>
      <c r="AQ49" s="8"/>
      <c r="AR49" s="103">
        <v>1.5</v>
      </c>
      <c r="AS49" s="8">
        <f>IF(OR(표1_3[[#This Row],[등급]]="명서",(표1_3[[#This Row],[등급]]="고급")),IF(AH49="","",AH49*$AR49),"")</f>
        <v>60</v>
      </c>
      <c r="AT49" s="8">
        <f>IF(OR(표1_3[[#This Row],[등급]]="명서",(표1_3[[#This Row],[등급]]="고급")),IF(AI49="","",AI49*$AR49),"")</f>
        <v>45</v>
      </c>
      <c r="AU49" s="8" t="str">
        <f>IF(OR(표1_3[[#This Row],[등급]]="명서",(표1_3[[#This Row],[등급]]="고급")),IF(AJ49="","",AJ49*$AR49),"")</f>
        <v/>
      </c>
      <c r="AV49" s="8">
        <f>IF(OR(표1_3[[#This Row],[등급]]="명서",(표1_3[[#This Row],[등급]]="고급")),IF(AK49="","",AK49*$AR49),"")</f>
        <v>30</v>
      </c>
      <c r="AW49" s="8" t="str">
        <f>IF(OR(표1_3[[#This Row],[등급]]="명서",(표1_3[[#This Row],[등급]]="고급")),IF(AL49="","",AL49*$AR49),"")</f>
        <v/>
      </c>
      <c r="AX49" s="8" t="str">
        <f>IF(OR(표1_3[[#This Row],[등급]]="명서",(표1_3[[#This Row],[등급]]="고급")),IF(AM49="","",AM49*$AR49),"")</f>
        <v/>
      </c>
      <c r="AY49" s="8" t="str">
        <f>IF(OR(표1_3[[#This Row],[등급]]="명서",(표1_3[[#This Row],[등급]]="고급")),IF(AN49="","",AN49*$AR49),"")</f>
        <v/>
      </c>
      <c r="AZ49" s="8" t="str">
        <f>IF(OR(표1_3[[#This Row],[등급]]="명서",(표1_3[[#This Row],[등급]]="고급")),IF(AO49="","",AO49*$AR49),"")</f>
        <v/>
      </c>
      <c r="BA49" s="8" t="str">
        <f>IF(OR(표1_3[[#This Row],[등급]]="명서",(표1_3[[#This Row],[등급]]="고급")),IF(AP49="","",AP49*$AR49),"")</f>
        <v/>
      </c>
      <c r="BB49" s="8" t="str">
        <f>IF(OR(표1_3[[#This Row],[등급]]="명서",(표1_3[[#This Row],[등급]]="고급")),IF(AQ49="","",AQ49*$AR49),"")</f>
        <v/>
      </c>
    </row>
    <row r="50" spans="1:54" x14ac:dyDescent="0.3">
      <c r="A50" s="5" t="s">
        <v>83</v>
      </c>
      <c r="B50" s="6" t="s">
        <v>12</v>
      </c>
      <c r="C50" s="203" t="s">
        <v>799</v>
      </c>
      <c r="D50" s="7" t="s">
        <v>89</v>
      </c>
      <c r="E50" s="7">
        <f t="array" ref="E50">INDEX(표1[내 책 등급], MATCH(1, (표1[사용자] ='성장 시뮬레이터'!$B$1) * (표1[책이름] = D50), 0))</f>
        <v>10</v>
      </c>
      <c r="F50" s="6" t="s">
        <v>21</v>
      </c>
      <c r="G50" s="142">
        <v>95</v>
      </c>
      <c r="H50" s="8" t="str">
        <f>IF(ISNUMBER(SEARCH("여", F50)), IF('성장 시뮬레이터'!$C$9=2, "O", "X"), "O")</f>
        <v>O</v>
      </c>
      <c r="I50" s="8" t="str">
        <f>IF(OR(ISNUMBER(SEARCH("위나라", F50)), ISNUMBER(SEARCH("촉나라", F50)), ISNUMBER(SEARCH("오나라", F50)), ISNUMBER(SEARCH("군웅", F50))), IF(ISNUMBER(SEARCH('성장 시뮬레이터'!$C$10, F50)), "O", "X"), "O")</f>
        <v>O</v>
      </c>
      <c r="J50" s="8" t="str">
        <f>IF(
    AND(
        H50="O",
        I50="O",
        IF(ISNUMBER(SEARCH("무력+지력", F50)), ('성장 시뮬레이터'!$G$5+'성장 시뮬레이터'!$G$6) &gt;= G50,
           IF(ISNUMBER(SEARCH("무력", F50)), '성장 시뮬레이터'!$G$5 &gt;= G50,
           IF(ISNUMBER(SEARCH("지력", F50)), '성장 시뮬레이터'!$G$6 &gt;= G50,
           IF(ISNUMBER(SEARCH("내력", F50)), '성장 시뮬레이터'!$G$7 &gt;= G50,
           IF(ISNUMBER(SEARCH("체력", F50)), '성장 시뮬레이터'!$G$8 &gt;= G50, FALSE)))))
    ), "O", "X")</f>
        <v>X</v>
      </c>
      <c r="K50" s="106" t="str">
        <f>IF(
    AND(
        H50="O",
        I50="O",
        IF(ISNUMBER(SEARCH("무력+지력", F50)), ('성장 시뮬레이터'!$I$5+'성장 시뮬레이터'!$I$6) &gt;= G50,
           IF(ISNUMBER(SEARCH("무력", F50)), '성장 시뮬레이터'!$I$5 &gt;= G50,
           IF(ISNUMBER(SEARCH("지력", F50)), '성장 시뮬레이터'!$I$6 &gt;= G50,
           IF(ISNUMBER(SEARCH("내력", F50)), '성장 시뮬레이터'!$I$7 &gt;= G50,
           IF(ISNUMBER(SEARCH("체력", F50)), '성장 시뮬레이터'!$I$8 &gt;= G50, FALSE)))))
    ), "O", "X")</f>
        <v>X</v>
      </c>
      <c r="L50" s="106" t="str">
        <f>IF(
    AND(
        H50="O",
        I50="O",
        IF(ISNUMBER(SEARCH("무력+지력", F50)), ('성장 시뮬레이터'!$K$5+'성장 시뮬레이터'!$K$6) &gt;= G50,
           IF(ISNUMBER(SEARCH("무력", F50)), '성장 시뮬레이터'!$K$5 &gt;= G50,
           IF(ISNUMBER(SEARCH("지력", F50)), '성장 시뮬레이터'!$K$6 &gt;= G50,
           IF(ISNUMBER(SEARCH("내력", F50)), '성장 시뮬레이터'!$K$7 &gt;= G50,
           IF(ISNUMBER(SEARCH("체력", F50)), '성장 시뮬레이터'!$K$8 &gt;= G50, FALSE)))))
    ), "O", "X")</f>
        <v>X</v>
      </c>
      <c r="M50" s="106" t="str">
        <f>IF(
    AND(
        H50="O",
        I50="O",
        IF(ISNUMBER(SEARCH("무력+지력", F50)), ('성장 시뮬레이터'!$M$5+'성장 시뮬레이터'!$M$6) &gt;= G50,
           IF(ISNUMBER(SEARCH("무력", F50)), '성장 시뮬레이터'!$M$5 &gt;= G50,
           IF(ISNUMBER(SEARCH("지력", F50)), '성장 시뮬레이터'!$M$6 &gt;= G50,
           IF(ISNUMBER(SEARCH("내력", F50)), '성장 시뮬레이터'!$M$7 &gt;= G50,
           IF(ISNUMBER(SEARCH("체력", F50)), '성장 시뮬레이터'!$M$8 &gt;= G50, FALSE)))))
    ), "O", "X")</f>
        <v>X</v>
      </c>
      <c r="N50" s="106" t="str">
        <f>IF(
    AND(
        H50="O",
        I50="O",
        IF(ISNUMBER(SEARCH("무력+지력", F50)), ('성장 시뮬레이터'!$O$5+'성장 시뮬레이터'!$O$6) &gt;= G50,
           IF(ISNUMBER(SEARCH("무력", F50)), '성장 시뮬레이터'!$O$5 &gt;= G50,
           IF(ISNUMBER(SEARCH("지력", F50)), '성장 시뮬레이터'!$O$6 &gt;= G50,
           IF(ISNUMBER(SEARCH("내력", F50)), '성장 시뮬레이터'!$O$7 &gt;= G50,
           IF(ISNUMBER(SEARCH("체력", F50)), '성장 시뮬레이터'!$O$8 &gt;= G50, FALSE)))))
    ), "O", "X")</f>
        <v>X</v>
      </c>
      <c r="O50" s="106" t="str">
        <f>IF(
    AND(
        H50="O",
        I50="O",
        IF(ISNUMBER(SEARCH("무력+지력", F50)), ('성장 시뮬레이터'!$Q$5+'성장 시뮬레이터'!$Q$6) &gt;= G50,
           IF(ISNUMBER(SEARCH("무력", F50)), '성장 시뮬레이터'!$Q$5 &gt;= G50,
           IF(ISNUMBER(SEARCH("지력", F50)), '성장 시뮬레이터'!$Q$6 &gt;= G50,
           IF(ISNUMBER(SEARCH("내력", F50)), '성장 시뮬레이터'!$Q$7 &gt;= G50,
           IF(ISNUMBER(SEARCH("체력", F50)), '성장 시뮬레이터'!$Q$8 &gt;= G50, FALSE)))))
    ), "O", "X")</f>
        <v>X</v>
      </c>
      <c r="P50" s="106" t="s">
        <v>905</v>
      </c>
      <c r="Q50" s="142">
        <f t="shared" si="12"/>
        <v>260</v>
      </c>
      <c r="R50" s="142" t="str">
        <f t="shared" si="13"/>
        <v/>
      </c>
      <c r="S50" s="142" t="str">
        <f t="shared" si="14"/>
        <v/>
      </c>
      <c r="T50" s="142" t="str">
        <f t="shared" si="15"/>
        <v/>
      </c>
      <c r="U50" s="142">
        <f t="shared" si="16"/>
        <v>195</v>
      </c>
      <c r="V50" s="142" t="str">
        <f t="shared" si="17"/>
        <v/>
      </c>
      <c r="W50" s="142" t="str">
        <f t="shared" si="18"/>
        <v/>
      </c>
      <c r="X50" s="142" t="str">
        <f t="shared" si="19"/>
        <v/>
      </c>
      <c r="Y50" s="142" t="str">
        <f t="shared" si="20"/>
        <v/>
      </c>
      <c r="Z50" s="142" t="str">
        <f t="shared" si="21"/>
        <v/>
      </c>
      <c r="AA50" s="11" t="s">
        <v>25</v>
      </c>
      <c r="AB50" s="11"/>
      <c r="AC50" s="11"/>
      <c r="AD50" s="11"/>
      <c r="AE50" s="12"/>
      <c r="AF50" s="144" t="s">
        <v>26</v>
      </c>
      <c r="AH50" s="8">
        <v>40</v>
      </c>
      <c r="AI50" s="8"/>
      <c r="AJ50" s="8"/>
      <c r="AK50" s="8"/>
      <c r="AL50" s="8">
        <v>30</v>
      </c>
      <c r="AM50" s="8"/>
      <c r="AN50" s="8"/>
      <c r="AO50" s="8"/>
      <c r="AP50" s="8"/>
      <c r="AQ50" s="8"/>
      <c r="AR50" s="103">
        <v>1.5</v>
      </c>
      <c r="AS50" s="8">
        <f>IF(OR(표1_3[[#This Row],[등급]]="명서",(표1_3[[#This Row],[등급]]="고급")),IF(AH50="","",AH50*$AR50),"")</f>
        <v>60</v>
      </c>
      <c r="AT50" s="8" t="str">
        <f>IF(OR(표1_3[[#This Row],[등급]]="명서",(표1_3[[#This Row],[등급]]="고급")),IF(AI50="","",AI50*$AR50),"")</f>
        <v/>
      </c>
      <c r="AU50" s="8" t="str">
        <f>IF(OR(표1_3[[#This Row],[등급]]="명서",(표1_3[[#This Row],[등급]]="고급")),IF(AJ50="","",AJ50*$AR50),"")</f>
        <v/>
      </c>
      <c r="AV50" s="8" t="str">
        <f>IF(OR(표1_3[[#This Row],[등급]]="명서",(표1_3[[#This Row],[등급]]="고급")),IF(AK50="","",AK50*$AR50),"")</f>
        <v/>
      </c>
      <c r="AW50" s="8">
        <f>IF(OR(표1_3[[#This Row],[등급]]="명서",(표1_3[[#This Row],[등급]]="고급")),IF(AL50="","",AL50*$AR50),"")</f>
        <v>45</v>
      </c>
      <c r="AX50" s="8" t="str">
        <f>IF(OR(표1_3[[#This Row],[등급]]="명서",(표1_3[[#This Row],[등급]]="고급")),IF(AM50="","",AM50*$AR50),"")</f>
        <v/>
      </c>
      <c r="AY50" s="8" t="str">
        <f>IF(OR(표1_3[[#This Row],[등급]]="명서",(표1_3[[#This Row],[등급]]="고급")),IF(AN50="","",AN50*$AR50),"")</f>
        <v/>
      </c>
      <c r="AZ50" s="8" t="str">
        <f>IF(OR(표1_3[[#This Row],[등급]]="명서",(표1_3[[#This Row],[등급]]="고급")),IF(AO50="","",AO50*$AR50),"")</f>
        <v/>
      </c>
      <c r="BA50" s="8" t="str">
        <f>IF(OR(표1_3[[#This Row],[등급]]="명서",(표1_3[[#This Row],[등급]]="고급")),IF(AP50="","",AP50*$AR50),"")</f>
        <v/>
      </c>
      <c r="BB50" s="8" t="str">
        <f>IF(OR(표1_3[[#This Row],[등급]]="명서",(표1_3[[#This Row],[등급]]="고급")),IF(AQ50="","",AQ50*$AR50),"")</f>
        <v/>
      </c>
    </row>
    <row r="51" spans="1:54" x14ac:dyDescent="0.3">
      <c r="A51" s="5" t="s">
        <v>83</v>
      </c>
      <c r="B51" s="6" t="s">
        <v>12</v>
      </c>
      <c r="C51" s="203" t="s">
        <v>799</v>
      </c>
      <c r="D51" s="7" t="s">
        <v>214</v>
      </c>
      <c r="E51" s="7">
        <f t="array" ref="E51">INDEX(표1[내 책 등급], MATCH(1, (표1[사용자] ='성장 시뮬레이터'!$B$1) * (표1[책이름] = D51), 0))</f>
        <v>10</v>
      </c>
      <c r="F51" s="6" t="s">
        <v>90</v>
      </c>
      <c r="G51" s="142">
        <v>88</v>
      </c>
      <c r="H51" s="8" t="str">
        <f>IF(ISNUMBER(SEARCH("여", F51)), IF('성장 시뮬레이터'!$C$9=2, "O", "X"), "O")</f>
        <v>O</v>
      </c>
      <c r="I51" s="8" t="str">
        <f>IF(OR(ISNUMBER(SEARCH("위나라", F51)), ISNUMBER(SEARCH("촉나라", F51)), ISNUMBER(SEARCH("오나라", F51)), ISNUMBER(SEARCH("군웅", F51))), IF(ISNUMBER(SEARCH('성장 시뮬레이터'!$C$10, F51)), "O", "X"), "O")</f>
        <v>O</v>
      </c>
      <c r="J51" s="8" t="str">
        <f>IF(
    AND(
        H51="O",
        I51="O",
        IF(ISNUMBER(SEARCH("무력+지력", F51)), ('성장 시뮬레이터'!$G$5+'성장 시뮬레이터'!$G$6) &gt;= G51,
           IF(ISNUMBER(SEARCH("무력", F51)), '성장 시뮬레이터'!$G$5 &gt;= G51,
           IF(ISNUMBER(SEARCH("지력", F51)), '성장 시뮬레이터'!$G$6 &gt;= G51,
           IF(ISNUMBER(SEARCH("내력", F51)), '성장 시뮬레이터'!$G$7 &gt;= G51,
           IF(ISNUMBER(SEARCH("체력", F51)), '성장 시뮬레이터'!$G$8 &gt;= G51, FALSE)))))
    ), "O", "X")</f>
        <v>O</v>
      </c>
      <c r="K51" s="106" t="str">
        <f>IF(
    AND(
        H51="O",
        I51="O",
        IF(ISNUMBER(SEARCH("무력+지력", F51)), ('성장 시뮬레이터'!$I$5+'성장 시뮬레이터'!$I$6) &gt;= G51,
           IF(ISNUMBER(SEARCH("무력", F51)), '성장 시뮬레이터'!$I$5 &gt;= G51,
           IF(ISNUMBER(SEARCH("지력", F51)), '성장 시뮬레이터'!$I$6 &gt;= G51,
           IF(ISNUMBER(SEARCH("내력", F51)), '성장 시뮬레이터'!$I$7 &gt;= G51,
           IF(ISNUMBER(SEARCH("체력", F51)), '성장 시뮬레이터'!$I$8 &gt;= G51, FALSE)))))
    ), "O", "X")</f>
        <v>O</v>
      </c>
      <c r="L51" s="106" t="str">
        <f>IF(
    AND(
        H51="O",
        I51="O",
        IF(ISNUMBER(SEARCH("무력+지력", F51)), ('성장 시뮬레이터'!$K$5+'성장 시뮬레이터'!$K$6) &gt;= G51,
           IF(ISNUMBER(SEARCH("무력", F51)), '성장 시뮬레이터'!$K$5 &gt;= G51,
           IF(ISNUMBER(SEARCH("지력", F51)), '성장 시뮬레이터'!$K$6 &gt;= G51,
           IF(ISNUMBER(SEARCH("내력", F51)), '성장 시뮬레이터'!$K$7 &gt;= G51,
           IF(ISNUMBER(SEARCH("체력", F51)), '성장 시뮬레이터'!$K$8 &gt;= G51, FALSE)))))
    ), "O", "X")</f>
        <v>O</v>
      </c>
      <c r="M51" s="106" t="str">
        <f>IF(
    AND(
        H51="O",
        I51="O",
        IF(ISNUMBER(SEARCH("무력+지력", F51)), ('성장 시뮬레이터'!$M$5+'성장 시뮬레이터'!$M$6) &gt;= G51,
           IF(ISNUMBER(SEARCH("무력", F51)), '성장 시뮬레이터'!$M$5 &gt;= G51,
           IF(ISNUMBER(SEARCH("지력", F51)), '성장 시뮬레이터'!$M$6 &gt;= G51,
           IF(ISNUMBER(SEARCH("내력", F51)), '성장 시뮬레이터'!$M$7 &gt;= G51,
           IF(ISNUMBER(SEARCH("체력", F51)), '성장 시뮬레이터'!$M$8 &gt;= G51, FALSE)))))
    ), "O", "X")</f>
        <v>O</v>
      </c>
      <c r="N51" s="106" t="str">
        <f>IF(
    AND(
        H51="O",
        I51="O",
        IF(ISNUMBER(SEARCH("무력+지력", F51)), ('성장 시뮬레이터'!$O$5+'성장 시뮬레이터'!$O$6) &gt;= G51,
           IF(ISNUMBER(SEARCH("무력", F51)), '성장 시뮬레이터'!$O$5 &gt;= G51,
           IF(ISNUMBER(SEARCH("지력", F51)), '성장 시뮬레이터'!$O$6 &gt;= G51,
           IF(ISNUMBER(SEARCH("내력", F51)), '성장 시뮬레이터'!$O$7 &gt;= G51,
           IF(ISNUMBER(SEARCH("체력", F51)), '성장 시뮬레이터'!$O$8 &gt;= G51, FALSE)))))
    ), "O", "X")</f>
        <v>O</v>
      </c>
      <c r="O51" s="106" t="str">
        <f>IF(
    AND(
        H51="O",
        I51="O",
        IF(ISNUMBER(SEARCH("무력+지력", F51)), ('성장 시뮬레이터'!$Q$5+'성장 시뮬레이터'!$Q$6) &gt;= G51,
           IF(ISNUMBER(SEARCH("무력", F51)), '성장 시뮬레이터'!$Q$5 &gt;= G51,
           IF(ISNUMBER(SEARCH("지력", F51)), '성장 시뮬레이터'!$Q$6 &gt;= G51,
           IF(ISNUMBER(SEARCH("내력", F51)), '성장 시뮬레이터'!$Q$7 &gt;= G51,
           IF(ISNUMBER(SEARCH("체력", F51)), '성장 시뮬레이터'!$Q$8 &gt;= G51, FALSE)))))
    ), "O", "X")</f>
        <v>O</v>
      </c>
      <c r="P51" s="106" t="s">
        <v>904</v>
      </c>
      <c r="Q51" s="142">
        <f t="shared" si="12"/>
        <v>130</v>
      </c>
      <c r="R51" s="142" t="str">
        <f t="shared" si="13"/>
        <v/>
      </c>
      <c r="S51" s="142">
        <f t="shared" si="14"/>
        <v>390</v>
      </c>
      <c r="T51" s="142" t="str">
        <f t="shared" si="15"/>
        <v/>
      </c>
      <c r="U51" s="142" t="str">
        <f t="shared" si="16"/>
        <v/>
      </c>
      <c r="V51" s="142" t="str">
        <f t="shared" si="17"/>
        <v/>
      </c>
      <c r="W51" s="142" t="str">
        <f t="shared" si="18"/>
        <v/>
      </c>
      <c r="X51" s="142" t="str">
        <f t="shared" si="19"/>
        <v/>
      </c>
      <c r="Y51" s="142" t="str">
        <f t="shared" si="20"/>
        <v/>
      </c>
      <c r="Z51" s="142" t="str">
        <f t="shared" si="21"/>
        <v/>
      </c>
      <c r="AA51" s="11" t="s">
        <v>91</v>
      </c>
      <c r="AB51" s="11"/>
      <c r="AC51" s="11"/>
      <c r="AD51" s="11"/>
      <c r="AE51" s="12" t="s">
        <v>92</v>
      </c>
      <c r="AF51" s="144" t="s">
        <v>93</v>
      </c>
      <c r="AH51" s="8">
        <v>20</v>
      </c>
      <c r="AI51" s="8"/>
      <c r="AJ51" s="8">
        <v>60</v>
      </c>
      <c r="AK51" s="8"/>
      <c r="AL51" s="8"/>
      <c r="AM51" s="8"/>
      <c r="AN51" s="8"/>
      <c r="AO51" s="8"/>
      <c r="AP51" s="8"/>
      <c r="AQ51" s="8"/>
      <c r="AR51" s="103">
        <v>1.5</v>
      </c>
      <c r="AS51" s="8">
        <f>IF(OR(표1_3[[#This Row],[등급]]="명서",(표1_3[[#This Row],[등급]]="고급")),IF(AH51="","",AH51*$AR51),"")</f>
        <v>30</v>
      </c>
      <c r="AT51" s="8" t="str">
        <f>IF(OR(표1_3[[#This Row],[등급]]="명서",(표1_3[[#This Row],[등급]]="고급")),IF(AI51="","",AI51*$AR51),"")</f>
        <v/>
      </c>
      <c r="AU51" s="8">
        <f>IF(OR(표1_3[[#This Row],[등급]]="명서",(표1_3[[#This Row],[등급]]="고급")),IF(AJ51="","",AJ51*$AR51),"")</f>
        <v>90</v>
      </c>
      <c r="AV51" s="8" t="str">
        <f>IF(OR(표1_3[[#This Row],[등급]]="명서",(표1_3[[#This Row],[등급]]="고급")),IF(AK51="","",AK51*$AR51),"")</f>
        <v/>
      </c>
      <c r="AW51" s="8" t="str">
        <f>IF(OR(표1_3[[#This Row],[등급]]="명서",(표1_3[[#This Row],[등급]]="고급")),IF(AL51="","",AL51*$AR51),"")</f>
        <v/>
      </c>
      <c r="AX51" s="8" t="str">
        <f>IF(OR(표1_3[[#This Row],[등급]]="명서",(표1_3[[#This Row],[등급]]="고급")),IF(AM51="","",AM51*$AR51),"")</f>
        <v/>
      </c>
      <c r="AY51" s="8" t="str">
        <f>IF(OR(표1_3[[#This Row],[등급]]="명서",(표1_3[[#This Row],[등급]]="고급")),IF(AN51="","",AN51*$AR51),"")</f>
        <v/>
      </c>
      <c r="AZ51" s="8" t="str">
        <f>IF(OR(표1_3[[#This Row],[등급]]="명서",(표1_3[[#This Row],[등급]]="고급")),IF(AO51="","",AO51*$AR51),"")</f>
        <v/>
      </c>
      <c r="BA51" s="8" t="str">
        <f>IF(OR(표1_3[[#This Row],[등급]]="명서",(표1_3[[#This Row],[등급]]="고급")),IF(AP51="","",AP51*$AR51),"")</f>
        <v/>
      </c>
      <c r="BB51" s="8" t="str">
        <f>IF(OR(표1_3[[#This Row],[등급]]="명서",(표1_3[[#This Row],[등급]]="고급")),IF(AQ51="","",AQ51*$AR51),"")</f>
        <v/>
      </c>
    </row>
    <row r="52" spans="1:54" x14ac:dyDescent="0.3">
      <c r="A52" s="5" t="s">
        <v>83</v>
      </c>
      <c r="B52" s="6" t="s">
        <v>12</v>
      </c>
      <c r="C52" s="203" t="s">
        <v>799</v>
      </c>
      <c r="D52" s="7" t="s">
        <v>94</v>
      </c>
      <c r="E52" s="7">
        <f t="array" ref="E52">INDEX(표1[내 책 등급], MATCH(1, (표1[사용자] ='성장 시뮬레이터'!$B$1) * (표1[책이름] = D52), 0))</f>
        <v>10</v>
      </c>
      <c r="F52" s="6" t="s">
        <v>30</v>
      </c>
      <c r="G52" s="142">
        <v>114</v>
      </c>
      <c r="H52" s="8" t="str">
        <f>IF(ISNUMBER(SEARCH("여", F52)), IF('성장 시뮬레이터'!$C$9=2, "O", "X"), "O")</f>
        <v>O</v>
      </c>
      <c r="I52" s="8" t="str">
        <f>IF(OR(ISNUMBER(SEARCH("위나라", F52)), ISNUMBER(SEARCH("촉나라", F52)), ISNUMBER(SEARCH("오나라", F52)), ISNUMBER(SEARCH("군웅", F52))), IF(ISNUMBER(SEARCH('성장 시뮬레이터'!$C$10, F52)), "O", "X"), "O")</f>
        <v>O</v>
      </c>
      <c r="J52" s="8" t="str">
        <f>IF(
    AND(
        H52="O",
        I52="O",
        IF(ISNUMBER(SEARCH("무력+지력", F52)), ('성장 시뮬레이터'!$G$5+'성장 시뮬레이터'!$G$6) &gt;= G52,
           IF(ISNUMBER(SEARCH("무력", F52)), '성장 시뮬레이터'!$G$5 &gt;= G52,
           IF(ISNUMBER(SEARCH("지력", F52)), '성장 시뮬레이터'!$G$6 &gt;= G52,
           IF(ISNUMBER(SEARCH("내력", F52)), '성장 시뮬레이터'!$G$7 &gt;= G52,
           IF(ISNUMBER(SEARCH("체력", F52)), '성장 시뮬레이터'!$G$8 &gt;= G52, FALSE)))))
    ), "O", "X")</f>
        <v>X</v>
      </c>
      <c r="K52" s="106" t="str">
        <f>IF(
    AND(
        H52="O",
        I52="O",
        IF(ISNUMBER(SEARCH("무력+지력", F52)), ('성장 시뮬레이터'!$I$5+'성장 시뮬레이터'!$I$6) &gt;= G52,
           IF(ISNUMBER(SEARCH("무력", F52)), '성장 시뮬레이터'!$I$5 &gt;= G52,
           IF(ISNUMBER(SEARCH("지력", F52)), '성장 시뮬레이터'!$I$6 &gt;= G52,
           IF(ISNUMBER(SEARCH("내력", F52)), '성장 시뮬레이터'!$I$7 &gt;= G52,
           IF(ISNUMBER(SEARCH("체력", F52)), '성장 시뮬레이터'!$I$8 &gt;= G52, FALSE)))))
    ), "O", "X")</f>
        <v>O</v>
      </c>
      <c r="L52" s="106" t="str">
        <f>IF(
    AND(
        H52="O",
        I52="O",
        IF(ISNUMBER(SEARCH("무력+지력", F52)), ('성장 시뮬레이터'!$K$5+'성장 시뮬레이터'!$K$6) &gt;= G52,
           IF(ISNUMBER(SEARCH("무력", F52)), '성장 시뮬레이터'!$K$5 &gt;= G52,
           IF(ISNUMBER(SEARCH("지력", F52)), '성장 시뮬레이터'!$K$6 &gt;= G52,
           IF(ISNUMBER(SEARCH("내력", F52)), '성장 시뮬레이터'!$K$7 &gt;= G52,
           IF(ISNUMBER(SEARCH("체력", F52)), '성장 시뮬레이터'!$K$8 &gt;= G52, FALSE)))))
    ), "O", "X")</f>
        <v>O</v>
      </c>
      <c r="M52" s="106" t="str">
        <f>IF(
    AND(
        H52="O",
        I52="O",
        IF(ISNUMBER(SEARCH("무력+지력", F52)), ('성장 시뮬레이터'!$M$5+'성장 시뮬레이터'!$M$6) &gt;= G52,
           IF(ISNUMBER(SEARCH("무력", F52)), '성장 시뮬레이터'!$M$5 &gt;= G52,
           IF(ISNUMBER(SEARCH("지력", F52)), '성장 시뮬레이터'!$M$6 &gt;= G52,
           IF(ISNUMBER(SEARCH("내력", F52)), '성장 시뮬레이터'!$M$7 &gt;= G52,
           IF(ISNUMBER(SEARCH("체력", F52)), '성장 시뮬레이터'!$M$8 &gt;= G52, FALSE)))))
    ), "O", "X")</f>
        <v>O</v>
      </c>
      <c r="N52" s="106" t="str">
        <f>IF(
    AND(
        H52="O",
        I52="O",
        IF(ISNUMBER(SEARCH("무력+지력", F52)), ('성장 시뮬레이터'!$O$5+'성장 시뮬레이터'!$O$6) &gt;= G52,
           IF(ISNUMBER(SEARCH("무력", F52)), '성장 시뮬레이터'!$O$5 &gt;= G52,
           IF(ISNUMBER(SEARCH("지력", F52)), '성장 시뮬레이터'!$O$6 &gt;= G52,
           IF(ISNUMBER(SEARCH("내력", F52)), '성장 시뮬레이터'!$O$7 &gt;= G52,
           IF(ISNUMBER(SEARCH("체력", F52)), '성장 시뮬레이터'!$O$8 &gt;= G52, FALSE)))))
    ), "O", "X")</f>
        <v>O</v>
      </c>
      <c r="O52" s="106" t="str">
        <f>IF(
    AND(
        H52="O",
        I52="O",
        IF(ISNUMBER(SEARCH("무력+지력", F52)), ('성장 시뮬레이터'!$Q$5+'성장 시뮬레이터'!$Q$6) &gt;= G52,
           IF(ISNUMBER(SEARCH("무력", F52)), '성장 시뮬레이터'!$Q$5 &gt;= G52,
           IF(ISNUMBER(SEARCH("지력", F52)), '성장 시뮬레이터'!$Q$6 &gt;= G52,
           IF(ISNUMBER(SEARCH("내력", F52)), '성장 시뮬레이터'!$Q$7 &gt;= G52,
           IF(ISNUMBER(SEARCH("체력", F52)), '성장 시뮬레이터'!$Q$8 &gt;= G52, FALSE)))))
    ), "O", "X")</f>
        <v>O</v>
      </c>
      <c r="P52" s="106" t="s">
        <v>904</v>
      </c>
      <c r="Q52" s="142">
        <f t="shared" si="12"/>
        <v>390</v>
      </c>
      <c r="R52" s="142">
        <f t="shared" si="13"/>
        <v>130</v>
      </c>
      <c r="S52" s="142" t="str">
        <f t="shared" si="14"/>
        <v/>
      </c>
      <c r="T52" s="142" t="str">
        <f t="shared" si="15"/>
        <v/>
      </c>
      <c r="U52" s="142" t="str">
        <f t="shared" si="16"/>
        <v/>
      </c>
      <c r="V52" s="142" t="str">
        <f t="shared" si="17"/>
        <v/>
      </c>
      <c r="W52" s="142" t="str">
        <f t="shared" si="18"/>
        <v/>
      </c>
      <c r="X52" s="142" t="str">
        <f t="shared" si="19"/>
        <v/>
      </c>
      <c r="Y52" s="142" t="str">
        <f t="shared" si="20"/>
        <v/>
      </c>
      <c r="Z52" s="142" t="str">
        <f t="shared" si="21"/>
        <v/>
      </c>
      <c r="AA52" s="11" t="s">
        <v>95</v>
      </c>
      <c r="AB52" s="11"/>
      <c r="AC52" s="11"/>
      <c r="AD52" s="11"/>
      <c r="AE52" s="12"/>
      <c r="AF52" s="144" t="s">
        <v>96</v>
      </c>
      <c r="AH52" s="8">
        <v>60</v>
      </c>
      <c r="AI52" s="8">
        <v>20</v>
      </c>
      <c r="AJ52" s="8"/>
      <c r="AK52" s="8"/>
      <c r="AL52" s="8"/>
      <c r="AM52" s="8"/>
      <c r="AN52" s="8"/>
      <c r="AO52" s="8"/>
      <c r="AP52" s="8"/>
      <c r="AQ52" s="8"/>
      <c r="AR52" s="103">
        <v>1.5</v>
      </c>
      <c r="AS52" s="8">
        <f>IF(OR(표1_3[[#This Row],[등급]]="명서",(표1_3[[#This Row],[등급]]="고급")),IF(AH52="","",AH52*$AR52),"")</f>
        <v>90</v>
      </c>
      <c r="AT52" s="8">
        <f>IF(OR(표1_3[[#This Row],[등급]]="명서",(표1_3[[#This Row],[등급]]="고급")),IF(AI52="","",AI52*$AR52),"")</f>
        <v>30</v>
      </c>
      <c r="AU52" s="8" t="str">
        <f>IF(OR(표1_3[[#This Row],[등급]]="명서",(표1_3[[#This Row],[등급]]="고급")),IF(AJ52="","",AJ52*$AR52),"")</f>
        <v/>
      </c>
      <c r="AV52" s="8" t="str">
        <f>IF(OR(표1_3[[#This Row],[등급]]="명서",(표1_3[[#This Row],[등급]]="고급")),IF(AK52="","",AK52*$AR52),"")</f>
        <v/>
      </c>
      <c r="AW52" s="8" t="str">
        <f>IF(OR(표1_3[[#This Row],[등급]]="명서",(표1_3[[#This Row],[등급]]="고급")),IF(AL52="","",AL52*$AR52),"")</f>
        <v/>
      </c>
      <c r="AX52" s="8" t="str">
        <f>IF(OR(표1_3[[#This Row],[등급]]="명서",(표1_3[[#This Row],[등급]]="고급")),IF(AM52="","",AM52*$AR52),"")</f>
        <v/>
      </c>
      <c r="AY52" s="8" t="str">
        <f>IF(OR(표1_3[[#This Row],[등급]]="명서",(표1_3[[#This Row],[등급]]="고급")),IF(AN52="","",AN52*$AR52),"")</f>
        <v/>
      </c>
      <c r="AZ52" s="8" t="str">
        <f>IF(OR(표1_3[[#This Row],[등급]]="명서",(표1_3[[#This Row],[등급]]="고급")),IF(AO52="","",AO52*$AR52),"")</f>
        <v/>
      </c>
      <c r="BA52" s="8" t="str">
        <f>IF(OR(표1_3[[#This Row],[등급]]="명서",(표1_3[[#This Row],[등급]]="고급")),IF(AP52="","",AP52*$AR52),"")</f>
        <v/>
      </c>
      <c r="BB52" s="8" t="str">
        <f>IF(OR(표1_3[[#This Row],[등급]]="명서",(표1_3[[#This Row],[등급]]="고급")),IF(AQ52="","",AQ52*$AR52),"")</f>
        <v/>
      </c>
    </row>
    <row r="53" spans="1:54" x14ac:dyDescent="0.3">
      <c r="A53" s="5" t="s">
        <v>83</v>
      </c>
      <c r="B53" s="6" t="s">
        <v>12</v>
      </c>
      <c r="C53" s="203" t="s">
        <v>799</v>
      </c>
      <c r="D53" s="7" t="s">
        <v>97</v>
      </c>
      <c r="E53" s="7">
        <f t="array" ref="E53">INDEX(표1[내 책 등급], MATCH(1, (표1[사용자] ='성장 시뮬레이터'!$B$1) * (표1[책이름] = D53), 0))</f>
        <v>10</v>
      </c>
      <c r="F53" s="6" t="s">
        <v>90</v>
      </c>
      <c r="G53" s="142">
        <v>88</v>
      </c>
      <c r="H53" s="8" t="str">
        <f>IF(ISNUMBER(SEARCH("여", F53)), IF('성장 시뮬레이터'!$C$9=2, "O", "X"), "O")</f>
        <v>O</v>
      </c>
      <c r="I53" s="8" t="str">
        <f>IF(OR(ISNUMBER(SEARCH("위나라", F53)), ISNUMBER(SEARCH("촉나라", F53)), ISNUMBER(SEARCH("오나라", F53)), ISNUMBER(SEARCH("군웅", F53))), IF(ISNUMBER(SEARCH('성장 시뮬레이터'!$C$10, F53)), "O", "X"), "O")</f>
        <v>O</v>
      </c>
      <c r="J53" s="8" t="str">
        <f>IF(
    AND(
        H53="O",
        I53="O",
        IF(ISNUMBER(SEARCH("무력+지력", F53)), ('성장 시뮬레이터'!$G$5+'성장 시뮬레이터'!$G$6) &gt;= G53,
           IF(ISNUMBER(SEARCH("무력", F53)), '성장 시뮬레이터'!$G$5 &gt;= G53,
           IF(ISNUMBER(SEARCH("지력", F53)), '성장 시뮬레이터'!$G$6 &gt;= G53,
           IF(ISNUMBER(SEARCH("내력", F53)), '성장 시뮬레이터'!$G$7 &gt;= G53,
           IF(ISNUMBER(SEARCH("체력", F53)), '성장 시뮬레이터'!$G$8 &gt;= G53, FALSE)))))
    ), "O", "X")</f>
        <v>O</v>
      </c>
      <c r="K53" s="106" t="str">
        <f>IF(
    AND(
        H53="O",
        I53="O",
        IF(ISNUMBER(SEARCH("무력+지력", F53)), ('성장 시뮬레이터'!$I$5+'성장 시뮬레이터'!$I$6) &gt;= G53,
           IF(ISNUMBER(SEARCH("무력", F53)), '성장 시뮬레이터'!$I$5 &gt;= G53,
           IF(ISNUMBER(SEARCH("지력", F53)), '성장 시뮬레이터'!$I$6 &gt;= G53,
           IF(ISNUMBER(SEARCH("내력", F53)), '성장 시뮬레이터'!$I$7 &gt;= G53,
           IF(ISNUMBER(SEARCH("체력", F53)), '성장 시뮬레이터'!$I$8 &gt;= G53, FALSE)))))
    ), "O", "X")</f>
        <v>O</v>
      </c>
      <c r="L53" s="106" t="str">
        <f>IF(
    AND(
        H53="O",
        I53="O",
        IF(ISNUMBER(SEARCH("무력+지력", F53)), ('성장 시뮬레이터'!$K$5+'성장 시뮬레이터'!$K$6) &gt;= G53,
           IF(ISNUMBER(SEARCH("무력", F53)), '성장 시뮬레이터'!$K$5 &gt;= G53,
           IF(ISNUMBER(SEARCH("지력", F53)), '성장 시뮬레이터'!$K$6 &gt;= G53,
           IF(ISNUMBER(SEARCH("내력", F53)), '성장 시뮬레이터'!$K$7 &gt;= G53,
           IF(ISNUMBER(SEARCH("체력", F53)), '성장 시뮬레이터'!$K$8 &gt;= G53, FALSE)))))
    ), "O", "X")</f>
        <v>O</v>
      </c>
      <c r="M53" s="106" t="str">
        <f>IF(
    AND(
        H53="O",
        I53="O",
        IF(ISNUMBER(SEARCH("무력+지력", F53)), ('성장 시뮬레이터'!$M$5+'성장 시뮬레이터'!$M$6) &gt;= G53,
           IF(ISNUMBER(SEARCH("무력", F53)), '성장 시뮬레이터'!$M$5 &gt;= G53,
           IF(ISNUMBER(SEARCH("지력", F53)), '성장 시뮬레이터'!$M$6 &gt;= G53,
           IF(ISNUMBER(SEARCH("내력", F53)), '성장 시뮬레이터'!$M$7 &gt;= G53,
           IF(ISNUMBER(SEARCH("체력", F53)), '성장 시뮬레이터'!$M$8 &gt;= G53, FALSE)))))
    ), "O", "X")</f>
        <v>O</v>
      </c>
      <c r="N53" s="106" t="str">
        <f>IF(
    AND(
        H53="O",
        I53="O",
        IF(ISNUMBER(SEARCH("무력+지력", F53)), ('성장 시뮬레이터'!$O$5+'성장 시뮬레이터'!$O$6) &gt;= G53,
           IF(ISNUMBER(SEARCH("무력", F53)), '성장 시뮬레이터'!$O$5 &gt;= G53,
           IF(ISNUMBER(SEARCH("지력", F53)), '성장 시뮬레이터'!$O$6 &gt;= G53,
           IF(ISNUMBER(SEARCH("내력", F53)), '성장 시뮬레이터'!$O$7 &gt;= G53,
           IF(ISNUMBER(SEARCH("체력", F53)), '성장 시뮬레이터'!$O$8 &gt;= G53, FALSE)))))
    ), "O", "X")</f>
        <v>O</v>
      </c>
      <c r="O53" s="106" t="str">
        <f>IF(
    AND(
        H53="O",
        I53="O",
        IF(ISNUMBER(SEARCH("무력+지력", F53)), ('성장 시뮬레이터'!$Q$5+'성장 시뮬레이터'!$Q$6) &gt;= G53,
           IF(ISNUMBER(SEARCH("무력", F53)), '성장 시뮬레이터'!$Q$5 &gt;= G53,
           IF(ISNUMBER(SEARCH("지력", F53)), '성장 시뮬레이터'!$Q$6 &gt;= G53,
           IF(ISNUMBER(SEARCH("내력", F53)), '성장 시뮬레이터'!$Q$7 &gt;= G53,
           IF(ISNUMBER(SEARCH("체력", F53)), '성장 시뮬레이터'!$Q$8 &gt;= G53, FALSE)))))
    ), "O", "X")</f>
        <v>O</v>
      </c>
      <c r="P53" s="106" t="s">
        <v>904</v>
      </c>
      <c r="Q53" s="142" t="str">
        <f t="shared" si="12"/>
        <v/>
      </c>
      <c r="R53" s="142">
        <f t="shared" si="13"/>
        <v>195</v>
      </c>
      <c r="S53" s="142">
        <f t="shared" si="14"/>
        <v>260</v>
      </c>
      <c r="T53" s="142" t="str">
        <f t="shared" si="15"/>
        <v/>
      </c>
      <c r="U53" s="142" t="str">
        <f t="shared" si="16"/>
        <v/>
      </c>
      <c r="V53" s="142" t="str">
        <f t="shared" si="17"/>
        <v/>
      </c>
      <c r="W53" s="142" t="str">
        <f t="shared" si="18"/>
        <v/>
      </c>
      <c r="X53" s="142" t="str">
        <f t="shared" si="19"/>
        <v/>
      </c>
      <c r="Y53" s="142" t="str">
        <f t="shared" si="20"/>
        <v/>
      </c>
      <c r="Z53" s="142" t="str">
        <f t="shared" si="21"/>
        <v/>
      </c>
      <c r="AA53" s="11" t="s">
        <v>98</v>
      </c>
      <c r="AB53" s="11"/>
      <c r="AC53" s="11"/>
      <c r="AD53" s="11"/>
      <c r="AE53" s="12"/>
      <c r="AF53" s="144" t="s">
        <v>99</v>
      </c>
      <c r="AH53" s="8"/>
      <c r="AI53" s="8">
        <v>30</v>
      </c>
      <c r="AJ53" s="8">
        <v>40</v>
      </c>
      <c r="AK53" s="8"/>
      <c r="AL53" s="8"/>
      <c r="AM53" s="8"/>
      <c r="AN53" s="8"/>
      <c r="AO53" s="8"/>
      <c r="AP53" s="8"/>
      <c r="AQ53" s="8"/>
      <c r="AR53" s="103">
        <v>1.5</v>
      </c>
      <c r="AS53" s="8" t="str">
        <f>IF(OR(표1_3[[#This Row],[등급]]="명서",(표1_3[[#This Row],[등급]]="고급")),IF(AH53="","",AH53*$AR53),"")</f>
        <v/>
      </c>
      <c r="AT53" s="8">
        <f>IF(OR(표1_3[[#This Row],[등급]]="명서",(표1_3[[#This Row],[등급]]="고급")),IF(AI53="","",AI53*$AR53),"")</f>
        <v>45</v>
      </c>
      <c r="AU53" s="8">
        <f>IF(OR(표1_3[[#This Row],[등급]]="명서",(표1_3[[#This Row],[등급]]="고급")),IF(AJ53="","",AJ53*$AR53),"")</f>
        <v>60</v>
      </c>
      <c r="AV53" s="8" t="str">
        <f>IF(OR(표1_3[[#This Row],[등급]]="명서",(표1_3[[#This Row],[등급]]="고급")),IF(AK53="","",AK53*$AR53),"")</f>
        <v/>
      </c>
      <c r="AW53" s="8" t="str">
        <f>IF(OR(표1_3[[#This Row],[등급]]="명서",(표1_3[[#This Row],[등급]]="고급")),IF(AL53="","",AL53*$AR53),"")</f>
        <v/>
      </c>
      <c r="AX53" s="8" t="str">
        <f>IF(OR(표1_3[[#This Row],[등급]]="명서",(표1_3[[#This Row],[등급]]="고급")),IF(AM53="","",AM53*$AR53),"")</f>
        <v/>
      </c>
      <c r="AY53" s="8" t="str">
        <f>IF(OR(표1_3[[#This Row],[등급]]="명서",(표1_3[[#This Row],[등급]]="고급")),IF(AN53="","",AN53*$AR53),"")</f>
        <v/>
      </c>
      <c r="AZ53" s="8" t="str">
        <f>IF(OR(표1_3[[#This Row],[등급]]="명서",(표1_3[[#This Row],[등급]]="고급")),IF(AO53="","",AO53*$AR53),"")</f>
        <v/>
      </c>
      <c r="BA53" s="8" t="str">
        <f>IF(OR(표1_3[[#This Row],[등급]]="명서",(표1_3[[#This Row],[등급]]="고급")),IF(AP53="","",AP53*$AR53),"")</f>
        <v/>
      </c>
      <c r="BB53" s="8" t="str">
        <f>IF(OR(표1_3[[#This Row],[등급]]="명서",(표1_3[[#This Row],[등급]]="고급")),IF(AQ53="","",AQ53*$AR53),"")</f>
        <v/>
      </c>
    </row>
    <row r="54" spans="1:54" x14ac:dyDescent="0.3">
      <c r="A54" s="5" t="s">
        <v>83</v>
      </c>
      <c r="B54" s="6" t="s">
        <v>12</v>
      </c>
      <c r="C54" s="203" t="s">
        <v>799</v>
      </c>
      <c r="D54" s="7" t="s">
        <v>100</v>
      </c>
      <c r="E54" s="7">
        <f t="array" ref="E54">INDEX(표1[내 책 등급], MATCH(1, (표1[사용자] ='성장 시뮬레이터'!$B$1) * (표1[책이름] = D54), 0))</f>
        <v>10</v>
      </c>
      <c r="F54" s="6" t="s">
        <v>14</v>
      </c>
      <c r="G54" s="142">
        <v>105</v>
      </c>
      <c r="H54" s="8" t="str">
        <f>IF(ISNUMBER(SEARCH("여", F54)), IF('성장 시뮬레이터'!$C$9=2, "O", "X"), "O")</f>
        <v>O</v>
      </c>
      <c r="I54" s="8" t="str">
        <f>IF(OR(ISNUMBER(SEARCH("위나라", F54)), ISNUMBER(SEARCH("촉나라", F54)), ISNUMBER(SEARCH("오나라", F54)), ISNUMBER(SEARCH("군웅", F54))), IF(ISNUMBER(SEARCH('성장 시뮬레이터'!$C$10, F54)), "O", "X"), "O")</f>
        <v>O</v>
      </c>
      <c r="J54" s="8" t="str">
        <f>IF(
    AND(
        H54="O",
        I54="O",
        IF(ISNUMBER(SEARCH("무력+지력", F54)), ('성장 시뮬레이터'!$G$5+'성장 시뮬레이터'!$G$6) &gt;= G54,
           IF(ISNUMBER(SEARCH("무력", F54)), '성장 시뮬레이터'!$G$5 &gt;= G54,
           IF(ISNUMBER(SEARCH("지력", F54)), '성장 시뮬레이터'!$G$6 &gt;= G54,
           IF(ISNUMBER(SEARCH("내력", F54)), '성장 시뮬레이터'!$G$7 &gt;= G54,
           IF(ISNUMBER(SEARCH("체력", F54)), '성장 시뮬레이터'!$G$8 &gt;= G54, FALSE)))))
    ), "O", "X")</f>
        <v>X</v>
      </c>
      <c r="K54" s="106" t="str">
        <f>IF(
    AND(
        H54="O",
        I54="O",
        IF(ISNUMBER(SEARCH("무력+지력", F54)), ('성장 시뮬레이터'!$I$5+'성장 시뮬레이터'!$I$6) &gt;= G54,
           IF(ISNUMBER(SEARCH("무력", F54)), '성장 시뮬레이터'!$I$5 &gt;= G54,
           IF(ISNUMBER(SEARCH("지력", F54)), '성장 시뮬레이터'!$I$6 &gt;= G54,
           IF(ISNUMBER(SEARCH("내력", F54)), '성장 시뮬레이터'!$I$7 &gt;= G54,
           IF(ISNUMBER(SEARCH("체력", F54)), '성장 시뮬레이터'!$I$8 &gt;= G54, FALSE)))))
    ), "O", "X")</f>
        <v>O</v>
      </c>
      <c r="L54" s="106" t="str">
        <f>IF(
    AND(
        H54="O",
        I54="O",
        IF(ISNUMBER(SEARCH("무력+지력", F54)), ('성장 시뮬레이터'!$K$5+'성장 시뮬레이터'!$K$6) &gt;= G54,
           IF(ISNUMBER(SEARCH("무력", F54)), '성장 시뮬레이터'!$K$5 &gt;= G54,
           IF(ISNUMBER(SEARCH("지력", F54)), '성장 시뮬레이터'!$K$6 &gt;= G54,
           IF(ISNUMBER(SEARCH("내력", F54)), '성장 시뮬레이터'!$K$7 &gt;= G54,
           IF(ISNUMBER(SEARCH("체력", F54)), '성장 시뮬레이터'!$K$8 &gt;= G54, FALSE)))))
    ), "O", "X")</f>
        <v>O</v>
      </c>
      <c r="M54" s="106" t="str">
        <f>IF(
    AND(
        H54="O",
        I54="O",
        IF(ISNUMBER(SEARCH("무력+지력", F54)), ('성장 시뮬레이터'!$M$5+'성장 시뮬레이터'!$M$6) &gt;= G54,
           IF(ISNUMBER(SEARCH("무력", F54)), '성장 시뮬레이터'!$M$5 &gt;= G54,
           IF(ISNUMBER(SEARCH("지력", F54)), '성장 시뮬레이터'!$M$6 &gt;= G54,
           IF(ISNUMBER(SEARCH("내력", F54)), '성장 시뮬레이터'!$M$7 &gt;= G54,
           IF(ISNUMBER(SEARCH("체력", F54)), '성장 시뮬레이터'!$M$8 &gt;= G54, FALSE)))))
    ), "O", "X")</f>
        <v>O</v>
      </c>
      <c r="N54" s="106" t="str">
        <f>IF(
    AND(
        H54="O",
        I54="O",
        IF(ISNUMBER(SEARCH("무력+지력", F54)), ('성장 시뮬레이터'!$O$5+'성장 시뮬레이터'!$O$6) &gt;= G54,
           IF(ISNUMBER(SEARCH("무력", F54)), '성장 시뮬레이터'!$O$5 &gt;= G54,
           IF(ISNUMBER(SEARCH("지력", F54)), '성장 시뮬레이터'!$O$6 &gt;= G54,
           IF(ISNUMBER(SEARCH("내력", F54)), '성장 시뮬레이터'!$O$7 &gt;= G54,
           IF(ISNUMBER(SEARCH("체력", F54)), '성장 시뮬레이터'!$O$8 &gt;= G54, FALSE)))))
    ), "O", "X")</f>
        <v>O</v>
      </c>
      <c r="O54" s="106" t="str">
        <f>IF(
    AND(
        H54="O",
        I54="O",
        IF(ISNUMBER(SEARCH("무력+지력", F54)), ('성장 시뮬레이터'!$Q$5+'성장 시뮬레이터'!$Q$6) &gt;= G54,
           IF(ISNUMBER(SEARCH("무력", F54)), '성장 시뮬레이터'!$Q$5 &gt;= G54,
           IF(ISNUMBER(SEARCH("지력", F54)), '성장 시뮬레이터'!$Q$6 &gt;= G54,
           IF(ISNUMBER(SEARCH("내력", F54)), '성장 시뮬레이터'!$Q$7 &gt;= G54,
           IF(ISNUMBER(SEARCH("체력", F54)), '성장 시뮬레이터'!$Q$8 &gt;= G54, FALSE)))))
    ), "O", "X")</f>
        <v>O</v>
      </c>
      <c r="P54" s="106" t="s">
        <v>904</v>
      </c>
      <c r="Q54" s="142">
        <f t="shared" si="12"/>
        <v>260</v>
      </c>
      <c r="R54" s="142" t="str">
        <f t="shared" si="13"/>
        <v/>
      </c>
      <c r="S54" s="142" t="str">
        <f t="shared" si="14"/>
        <v/>
      </c>
      <c r="T54" s="142" t="str">
        <f t="shared" si="15"/>
        <v/>
      </c>
      <c r="U54" s="142" t="str">
        <f t="shared" si="16"/>
        <v/>
      </c>
      <c r="V54" s="142">
        <f t="shared" si="17"/>
        <v>130</v>
      </c>
      <c r="W54" s="142" t="str">
        <f t="shared" si="18"/>
        <v/>
      </c>
      <c r="X54" s="142" t="str">
        <f t="shared" si="19"/>
        <v/>
      </c>
      <c r="Y54" s="142" t="str">
        <f t="shared" si="20"/>
        <v/>
      </c>
      <c r="Z54" s="142" t="str">
        <f t="shared" si="21"/>
        <v/>
      </c>
      <c r="AA54" s="9" t="s">
        <v>101</v>
      </c>
      <c r="AB54" s="9"/>
      <c r="AC54" s="9"/>
      <c r="AD54" s="9"/>
      <c r="AE54" s="10"/>
      <c r="AF54" s="143" t="s">
        <v>102</v>
      </c>
      <c r="AH54" s="8">
        <v>40</v>
      </c>
      <c r="AI54" s="8"/>
      <c r="AJ54" s="8"/>
      <c r="AK54" s="8"/>
      <c r="AL54" s="8"/>
      <c r="AM54" s="8">
        <v>20</v>
      </c>
      <c r="AN54" s="8"/>
      <c r="AO54" s="8"/>
      <c r="AP54" s="8"/>
      <c r="AQ54" s="8"/>
      <c r="AR54" s="103">
        <v>1.5</v>
      </c>
      <c r="AS54" s="8">
        <f>IF(OR(표1_3[[#This Row],[등급]]="명서",(표1_3[[#This Row],[등급]]="고급")),IF(AH54="","",AH54*$AR54),"")</f>
        <v>60</v>
      </c>
      <c r="AT54" s="8" t="str">
        <f>IF(OR(표1_3[[#This Row],[등급]]="명서",(표1_3[[#This Row],[등급]]="고급")),IF(AI54="","",AI54*$AR54),"")</f>
        <v/>
      </c>
      <c r="AU54" s="8" t="str">
        <f>IF(OR(표1_3[[#This Row],[등급]]="명서",(표1_3[[#This Row],[등급]]="고급")),IF(AJ54="","",AJ54*$AR54),"")</f>
        <v/>
      </c>
      <c r="AV54" s="8" t="str">
        <f>IF(OR(표1_3[[#This Row],[등급]]="명서",(표1_3[[#This Row],[등급]]="고급")),IF(AK54="","",AK54*$AR54),"")</f>
        <v/>
      </c>
      <c r="AW54" s="8" t="str">
        <f>IF(OR(표1_3[[#This Row],[등급]]="명서",(표1_3[[#This Row],[등급]]="고급")),IF(AL54="","",AL54*$AR54),"")</f>
        <v/>
      </c>
      <c r="AX54" s="8">
        <f>IF(OR(표1_3[[#This Row],[등급]]="명서",(표1_3[[#This Row],[등급]]="고급")),IF(AM54="","",AM54*$AR54),"")</f>
        <v>30</v>
      </c>
      <c r="AY54" s="8" t="str">
        <f>IF(OR(표1_3[[#This Row],[등급]]="명서",(표1_3[[#This Row],[등급]]="고급")),IF(AN54="","",AN54*$AR54),"")</f>
        <v/>
      </c>
      <c r="AZ54" s="8" t="str">
        <f>IF(OR(표1_3[[#This Row],[등급]]="명서",(표1_3[[#This Row],[등급]]="고급")),IF(AO54="","",AO54*$AR54),"")</f>
        <v/>
      </c>
      <c r="BA54" s="8" t="str">
        <f>IF(OR(표1_3[[#This Row],[등급]]="명서",(표1_3[[#This Row],[등급]]="고급")),IF(AP54="","",AP54*$AR54),"")</f>
        <v/>
      </c>
      <c r="BB54" s="8" t="str">
        <f>IF(OR(표1_3[[#This Row],[등급]]="명서",(표1_3[[#This Row],[등급]]="고급")),IF(AQ54="","",AQ54*$AR54),"")</f>
        <v/>
      </c>
    </row>
    <row r="55" spans="1:54" x14ac:dyDescent="0.3">
      <c r="A55" s="5" t="s">
        <v>83</v>
      </c>
      <c r="B55" s="6" t="s">
        <v>12</v>
      </c>
      <c r="C55" s="203" t="s">
        <v>799</v>
      </c>
      <c r="D55" s="7" t="s">
        <v>212</v>
      </c>
      <c r="E55" s="7">
        <f t="array" ref="E55">INDEX(표1[내 책 등급], MATCH(1, (표1[사용자] ='성장 시뮬레이터'!$B$1) * (표1[책이름] = D55), 0))</f>
        <v>9</v>
      </c>
      <c r="F55" s="6" t="s">
        <v>103</v>
      </c>
      <c r="G55" s="142">
        <v>140</v>
      </c>
      <c r="H55" s="8" t="str">
        <f>IF(ISNUMBER(SEARCH("여", F55)), IF('성장 시뮬레이터'!$C$9=2, "O", "X"), "O")</f>
        <v>X</v>
      </c>
      <c r="I55" s="8" t="str">
        <f>IF(OR(ISNUMBER(SEARCH("위나라", F55)), ISNUMBER(SEARCH("촉나라", F55)), ISNUMBER(SEARCH("오나라", F55)), ISNUMBER(SEARCH("군웅", F55))), IF(ISNUMBER(SEARCH('성장 시뮬레이터'!$C$10, F55)), "O", "X"), "O")</f>
        <v>O</v>
      </c>
      <c r="J55" s="8" t="str">
        <f>IF(
    AND(
        H55="O",
        I55="O",
        IF(ISNUMBER(SEARCH("무력+지력", F55)), ('성장 시뮬레이터'!$G$5+'성장 시뮬레이터'!$G$6) &gt;= G55,
           IF(ISNUMBER(SEARCH("무력", F55)), '성장 시뮬레이터'!$G$5 &gt;= G55,
           IF(ISNUMBER(SEARCH("지력", F55)), '성장 시뮬레이터'!$G$6 &gt;= G55,
           IF(ISNUMBER(SEARCH("내력", F55)), '성장 시뮬레이터'!$G$7 &gt;= G55,
           IF(ISNUMBER(SEARCH("체력", F55)), '성장 시뮬레이터'!$G$8 &gt;= G55, FALSE)))))
    ), "O", "X")</f>
        <v>X</v>
      </c>
      <c r="K55" s="106" t="str">
        <f>IF(
    AND(
        H55="O",
        I55="O",
        IF(ISNUMBER(SEARCH("무력+지력", F55)), ('성장 시뮬레이터'!$I$5+'성장 시뮬레이터'!$I$6) &gt;= G55,
           IF(ISNUMBER(SEARCH("무력", F55)), '성장 시뮬레이터'!$I$5 &gt;= G55,
           IF(ISNUMBER(SEARCH("지력", F55)), '성장 시뮬레이터'!$I$6 &gt;= G55,
           IF(ISNUMBER(SEARCH("내력", F55)), '성장 시뮬레이터'!$I$7 &gt;= G55,
           IF(ISNUMBER(SEARCH("체력", F55)), '성장 시뮬레이터'!$I$8 &gt;= G55, FALSE)))))
    ), "O", "X")</f>
        <v>X</v>
      </c>
      <c r="L55" s="106" t="str">
        <f>IF(
    AND(
        H55="O",
        I55="O",
        IF(ISNUMBER(SEARCH("무력+지력", F55)), ('성장 시뮬레이터'!$K$5+'성장 시뮬레이터'!$K$6) &gt;= G55,
           IF(ISNUMBER(SEARCH("무력", F55)), '성장 시뮬레이터'!$K$5 &gt;= G55,
           IF(ISNUMBER(SEARCH("지력", F55)), '성장 시뮬레이터'!$K$6 &gt;= G55,
           IF(ISNUMBER(SEARCH("내력", F55)), '성장 시뮬레이터'!$K$7 &gt;= G55,
           IF(ISNUMBER(SEARCH("체력", F55)), '성장 시뮬레이터'!$K$8 &gt;= G55, FALSE)))))
    ), "O", "X")</f>
        <v>X</v>
      </c>
      <c r="M55" s="106" t="str">
        <f>IF(
    AND(
        H55="O",
        I55="O",
        IF(ISNUMBER(SEARCH("무력+지력", F55)), ('성장 시뮬레이터'!$M$5+'성장 시뮬레이터'!$M$6) &gt;= G55,
           IF(ISNUMBER(SEARCH("무력", F55)), '성장 시뮬레이터'!$M$5 &gt;= G55,
           IF(ISNUMBER(SEARCH("지력", F55)), '성장 시뮬레이터'!$M$6 &gt;= G55,
           IF(ISNUMBER(SEARCH("내력", F55)), '성장 시뮬레이터'!$M$7 &gt;= G55,
           IF(ISNUMBER(SEARCH("체력", F55)), '성장 시뮬레이터'!$M$8 &gt;= G55, FALSE)))))
    ), "O", "X")</f>
        <v>X</v>
      </c>
      <c r="N55" s="106" t="str">
        <f>IF(
    AND(
        H55="O",
        I55="O",
        IF(ISNUMBER(SEARCH("무력+지력", F55)), ('성장 시뮬레이터'!$O$5+'성장 시뮬레이터'!$O$6) &gt;= G55,
           IF(ISNUMBER(SEARCH("무력", F55)), '성장 시뮬레이터'!$O$5 &gt;= G55,
           IF(ISNUMBER(SEARCH("지력", F55)), '성장 시뮬레이터'!$O$6 &gt;= G55,
           IF(ISNUMBER(SEARCH("내력", F55)), '성장 시뮬레이터'!$O$7 &gt;= G55,
           IF(ISNUMBER(SEARCH("체력", F55)), '성장 시뮬레이터'!$O$8 &gt;= G55, FALSE)))))
    ), "O", "X")</f>
        <v>X</v>
      </c>
      <c r="O55" s="106" t="str">
        <f>IF(
    AND(
        H55="O",
        I55="O",
        IF(ISNUMBER(SEARCH("무력+지력", F55)), ('성장 시뮬레이터'!$Q$5+'성장 시뮬레이터'!$Q$6) &gt;= G55,
           IF(ISNUMBER(SEARCH("무력", F55)), '성장 시뮬레이터'!$Q$5 &gt;= G55,
           IF(ISNUMBER(SEARCH("지력", F55)), '성장 시뮬레이터'!$Q$6 &gt;= G55,
           IF(ISNUMBER(SEARCH("내력", F55)), '성장 시뮬레이터'!$Q$7 &gt;= G55,
           IF(ISNUMBER(SEARCH("체력", F55)), '성장 시뮬레이터'!$Q$8 &gt;= G55, FALSE)))))
    ), "O", "X")</f>
        <v>X</v>
      </c>
      <c r="P55" s="106" t="s">
        <v>905</v>
      </c>
      <c r="Q55" s="142">
        <f t="shared" si="12"/>
        <v>200</v>
      </c>
      <c r="R55" s="142">
        <f t="shared" si="13"/>
        <v>150</v>
      </c>
      <c r="S55" s="142" t="str">
        <f t="shared" si="14"/>
        <v/>
      </c>
      <c r="T55" s="142" t="str">
        <f t="shared" si="15"/>
        <v/>
      </c>
      <c r="U55" s="142" t="str">
        <f t="shared" si="16"/>
        <v/>
      </c>
      <c r="V55" s="142" t="str">
        <f t="shared" si="17"/>
        <v/>
      </c>
      <c r="W55" s="142" t="str">
        <f t="shared" si="18"/>
        <v/>
      </c>
      <c r="X55" s="142" t="str">
        <f t="shared" si="19"/>
        <v/>
      </c>
      <c r="Y55" s="142" t="str">
        <f t="shared" si="20"/>
        <v/>
      </c>
      <c r="Z55" s="142" t="str">
        <f t="shared" si="21"/>
        <v/>
      </c>
      <c r="AA55" s="11" t="s">
        <v>53</v>
      </c>
      <c r="AB55" s="11"/>
      <c r="AC55" s="11"/>
      <c r="AD55" s="11"/>
      <c r="AE55" s="12"/>
      <c r="AF55" s="144" t="s">
        <v>54</v>
      </c>
      <c r="AH55" s="8">
        <v>40</v>
      </c>
      <c r="AI55" s="8">
        <v>30</v>
      </c>
      <c r="AJ55" s="8"/>
      <c r="AK55" s="8"/>
      <c r="AL55" s="8"/>
      <c r="AM55" s="8"/>
      <c r="AN55" s="8"/>
      <c r="AO55" s="8"/>
      <c r="AP55" s="8"/>
      <c r="AQ55" s="8"/>
      <c r="AR55" s="103">
        <v>1.5</v>
      </c>
      <c r="AS55" s="8">
        <f>IF(OR(표1_3[[#This Row],[등급]]="명서",(표1_3[[#This Row],[등급]]="고급")),IF(AH55="","",AH55*$AR55),"")</f>
        <v>60</v>
      </c>
      <c r="AT55" s="8">
        <f>IF(OR(표1_3[[#This Row],[등급]]="명서",(표1_3[[#This Row],[등급]]="고급")),IF(AI55="","",AI55*$AR55),"")</f>
        <v>45</v>
      </c>
      <c r="AU55" s="8" t="str">
        <f>IF(OR(표1_3[[#This Row],[등급]]="명서",(표1_3[[#This Row],[등급]]="고급")),IF(AJ55="","",AJ55*$AR55),"")</f>
        <v/>
      </c>
      <c r="AV55" s="8" t="str">
        <f>IF(OR(표1_3[[#This Row],[등급]]="명서",(표1_3[[#This Row],[등급]]="고급")),IF(AK55="","",AK55*$AR55),"")</f>
        <v/>
      </c>
      <c r="AW55" s="8" t="str">
        <f>IF(OR(표1_3[[#This Row],[등급]]="명서",(표1_3[[#This Row],[등급]]="고급")),IF(AL55="","",AL55*$AR55),"")</f>
        <v/>
      </c>
      <c r="AX55" s="8" t="str">
        <f>IF(OR(표1_3[[#This Row],[등급]]="명서",(표1_3[[#This Row],[등급]]="고급")),IF(AM55="","",AM55*$AR55),"")</f>
        <v/>
      </c>
      <c r="AY55" s="8" t="str">
        <f>IF(OR(표1_3[[#This Row],[등급]]="명서",(표1_3[[#This Row],[등급]]="고급")),IF(AN55="","",AN55*$AR55),"")</f>
        <v/>
      </c>
      <c r="AZ55" s="8" t="str">
        <f>IF(OR(표1_3[[#This Row],[등급]]="명서",(표1_3[[#This Row],[등급]]="고급")),IF(AO55="","",AO55*$AR55),"")</f>
        <v/>
      </c>
      <c r="BA55" s="8" t="str">
        <f>IF(OR(표1_3[[#This Row],[등급]]="명서",(표1_3[[#This Row],[등급]]="고급")),IF(AP55="","",AP55*$AR55),"")</f>
        <v/>
      </c>
      <c r="BB55" s="8" t="str">
        <f>IF(OR(표1_3[[#This Row],[등급]]="명서",(표1_3[[#This Row],[등급]]="고급")),IF(AQ55="","",AQ55*$AR55),"")</f>
        <v/>
      </c>
    </row>
    <row r="56" spans="1:54" x14ac:dyDescent="0.3">
      <c r="A56" s="5" t="s">
        <v>83</v>
      </c>
      <c r="B56" s="6" t="s">
        <v>12</v>
      </c>
      <c r="C56" s="6" t="s">
        <v>798</v>
      </c>
      <c r="D56" s="7" t="s">
        <v>104</v>
      </c>
      <c r="E56" s="7">
        <f t="array" ref="E56">INDEX(표1[내 책 등급], MATCH(1, (표1[사용자] ='성장 시뮬레이터'!$B$1) * (표1[책이름] = D56), 0))</f>
        <v>10</v>
      </c>
      <c r="F56" s="6" t="s">
        <v>18</v>
      </c>
      <c r="G56" s="142">
        <v>175</v>
      </c>
      <c r="H56" s="8" t="str">
        <f>IF(ISNUMBER(SEARCH("여", F56)), IF('성장 시뮬레이터'!$C$9=2, "O", "X"), "O")</f>
        <v>O</v>
      </c>
      <c r="I56" s="8" t="str">
        <f>IF(OR(ISNUMBER(SEARCH("위나라", F56)), ISNUMBER(SEARCH("촉나라", F56)), ISNUMBER(SEARCH("오나라", F56)), ISNUMBER(SEARCH("군웅", F56))), IF(ISNUMBER(SEARCH('성장 시뮬레이터'!$C$10, F56)), "O", "X"), "O")</f>
        <v>O</v>
      </c>
      <c r="J56" s="8" t="str">
        <f>IF(
    AND(
        H56="O",
        I56="O",
        IF(ISNUMBER(SEARCH("무력+지력", F56)), ('성장 시뮬레이터'!$G$5+'성장 시뮬레이터'!$G$6) &gt;= G56,
           IF(ISNUMBER(SEARCH("무력", F56)), '성장 시뮬레이터'!$G$5 &gt;= G56,
           IF(ISNUMBER(SEARCH("지력", F56)), '성장 시뮬레이터'!$G$6 &gt;= G56,
           IF(ISNUMBER(SEARCH("내력", F56)), '성장 시뮬레이터'!$G$7 &gt;= G56,
           IF(ISNUMBER(SEARCH("체력", F56)), '성장 시뮬레이터'!$G$8 &gt;= G56, FALSE)))))
    ), "O", "X")</f>
        <v>O</v>
      </c>
      <c r="K56" s="106" t="str">
        <f>IF(
    AND(
        H56="O",
        I56="O",
        IF(ISNUMBER(SEARCH("무력+지력", F56)), ('성장 시뮬레이터'!$I$5+'성장 시뮬레이터'!$I$6) &gt;= G56,
           IF(ISNUMBER(SEARCH("무력", F56)), '성장 시뮬레이터'!$I$5 &gt;= G56,
           IF(ISNUMBER(SEARCH("지력", F56)), '성장 시뮬레이터'!$I$6 &gt;= G56,
           IF(ISNUMBER(SEARCH("내력", F56)), '성장 시뮬레이터'!$I$7 &gt;= G56,
           IF(ISNUMBER(SEARCH("체력", F56)), '성장 시뮬레이터'!$I$8 &gt;= G56, FALSE)))))
    ), "O", "X")</f>
        <v>O</v>
      </c>
      <c r="L56" s="106" t="str">
        <f>IF(
    AND(
        H56="O",
        I56="O",
        IF(ISNUMBER(SEARCH("무력+지력", F56)), ('성장 시뮬레이터'!$K$5+'성장 시뮬레이터'!$K$6) &gt;= G56,
           IF(ISNUMBER(SEARCH("무력", F56)), '성장 시뮬레이터'!$K$5 &gt;= G56,
           IF(ISNUMBER(SEARCH("지력", F56)), '성장 시뮬레이터'!$K$6 &gt;= G56,
           IF(ISNUMBER(SEARCH("내력", F56)), '성장 시뮬레이터'!$K$7 &gt;= G56,
           IF(ISNUMBER(SEARCH("체력", F56)), '성장 시뮬레이터'!$K$8 &gt;= G56, FALSE)))))
    ), "O", "X")</f>
        <v>O</v>
      </c>
      <c r="M56" s="106" t="str">
        <f>IF(
    AND(
        H56="O",
        I56="O",
        IF(ISNUMBER(SEARCH("무력+지력", F56)), ('성장 시뮬레이터'!$M$5+'성장 시뮬레이터'!$M$6) &gt;= G56,
           IF(ISNUMBER(SEARCH("무력", F56)), '성장 시뮬레이터'!$M$5 &gt;= G56,
           IF(ISNUMBER(SEARCH("지력", F56)), '성장 시뮬레이터'!$M$6 &gt;= G56,
           IF(ISNUMBER(SEARCH("내력", F56)), '성장 시뮬레이터'!$M$7 &gt;= G56,
           IF(ISNUMBER(SEARCH("체력", F56)), '성장 시뮬레이터'!$M$8 &gt;= G56, FALSE)))))
    ), "O", "X")</f>
        <v>O</v>
      </c>
      <c r="N56" s="106" t="str">
        <f>IF(
    AND(
        H56="O",
        I56="O",
        IF(ISNUMBER(SEARCH("무력+지력", F56)), ('성장 시뮬레이터'!$O$5+'성장 시뮬레이터'!$O$6) &gt;= G56,
           IF(ISNUMBER(SEARCH("무력", F56)), '성장 시뮬레이터'!$O$5 &gt;= G56,
           IF(ISNUMBER(SEARCH("지력", F56)), '성장 시뮬레이터'!$O$6 &gt;= G56,
           IF(ISNUMBER(SEARCH("내력", F56)), '성장 시뮬레이터'!$O$7 &gt;= G56,
           IF(ISNUMBER(SEARCH("체력", F56)), '성장 시뮬레이터'!$O$8 &gt;= G56, FALSE)))))
    ), "O", "X")</f>
        <v>O</v>
      </c>
      <c r="O56" s="106" t="str">
        <f>IF(
    AND(
        H56="O",
        I56="O",
        IF(ISNUMBER(SEARCH("무력+지력", F56)), ('성장 시뮬레이터'!$Q$5+'성장 시뮬레이터'!$Q$6) &gt;= G56,
           IF(ISNUMBER(SEARCH("무력", F56)), '성장 시뮬레이터'!$Q$5 &gt;= G56,
           IF(ISNUMBER(SEARCH("지력", F56)), '성장 시뮬레이터'!$Q$6 &gt;= G56,
           IF(ISNUMBER(SEARCH("내력", F56)), '성장 시뮬레이터'!$Q$7 &gt;= G56,
           IF(ISNUMBER(SEARCH("체력", F56)), '성장 시뮬레이터'!$Q$8 &gt;= G56, FALSE)))))
    ), "O", "X")</f>
        <v>O</v>
      </c>
      <c r="P56" s="106" t="s">
        <v>904</v>
      </c>
      <c r="Q56" s="142">
        <f t="shared" si="12"/>
        <v>130</v>
      </c>
      <c r="R56" s="142">
        <f t="shared" si="13"/>
        <v>260</v>
      </c>
      <c r="S56" s="142" t="str">
        <f t="shared" si="14"/>
        <v/>
      </c>
      <c r="T56" s="142" t="str">
        <f t="shared" si="15"/>
        <v/>
      </c>
      <c r="U56" s="142" t="str">
        <f t="shared" si="16"/>
        <v/>
      </c>
      <c r="V56" s="142" t="str">
        <f t="shared" si="17"/>
        <v/>
      </c>
      <c r="W56" s="142" t="str">
        <f t="shared" si="18"/>
        <v/>
      </c>
      <c r="X56" s="142" t="str">
        <f t="shared" si="19"/>
        <v/>
      </c>
      <c r="Y56" s="142" t="str">
        <f t="shared" si="20"/>
        <v/>
      </c>
      <c r="Z56" s="142" t="str">
        <f t="shared" si="21"/>
        <v/>
      </c>
      <c r="AA56" s="11" t="s">
        <v>105</v>
      </c>
      <c r="AB56" s="11"/>
      <c r="AC56" s="11"/>
      <c r="AD56" s="11"/>
      <c r="AE56" s="12"/>
      <c r="AF56" s="144" t="s">
        <v>106</v>
      </c>
      <c r="AH56" s="8">
        <v>20</v>
      </c>
      <c r="AI56" s="8">
        <v>40</v>
      </c>
      <c r="AJ56" s="8"/>
      <c r="AK56" s="8"/>
      <c r="AL56" s="8"/>
      <c r="AM56" s="8"/>
      <c r="AN56" s="8"/>
      <c r="AO56" s="8"/>
      <c r="AP56" s="8"/>
      <c r="AQ56" s="8"/>
      <c r="AR56" s="103">
        <v>1.5</v>
      </c>
      <c r="AS56" s="8">
        <f>IF(OR(표1_3[[#This Row],[등급]]="명서",(표1_3[[#This Row],[등급]]="고급")),IF(AH56="","",AH56*$AR56),"")</f>
        <v>30</v>
      </c>
      <c r="AT56" s="8">
        <f>IF(OR(표1_3[[#This Row],[등급]]="명서",(표1_3[[#This Row],[등급]]="고급")),IF(AI56="","",AI56*$AR56),"")</f>
        <v>60</v>
      </c>
      <c r="AU56" s="8" t="str">
        <f>IF(OR(표1_3[[#This Row],[등급]]="명서",(표1_3[[#This Row],[등급]]="고급")),IF(AJ56="","",AJ56*$AR56),"")</f>
        <v/>
      </c>
      <c r="AV56" s="8" t="str">
        <f>IF(OR(표1_3[[#This Row],[등급]]="명서",(표1_3[[#This Row],[등급]]="고급")),IF(AK56="","",AK56*$AR56),"")</f>
        <v/>
      </c>
      <c r="AW56" s="8" t="str">
        <f>IF(OR(표1_3[[#This Row],[등급]]="명서",(표1_3[[#This Row],[등급]]="고급")),IF(AL56="","",AL56*$AR56),"")</f>
        <v/>
      </c>
      <c r="AX56" s="8" t="str">
        <f>IF(OR(표1_3[[#This Row],[등급]]="명서",(표1_3[[#This Row],[등급]]="고급")),IF(AM56="","",AM56*$AR56),"")</f>
        <v/>
      </c>
      <c r="AY56" s="8" t="str">
        <f>IF(OR(표1_3[[#This Row],[등급]]="명서",(표1_3[[#This Row],[등급]]="고급")),IF(AN56="","",AN56*$AR56),"")</f>
        <v/>
      </c>
      <c r="AZ56" s="8" t="str">
        <f>IF(OR(표1_3[[#This Row],[등급]]="명서",(표1_3[[#This Row],[등급]]="고급")),IF(AO56="","",AO56*$AR56),"")</f>
        <v/>
      </c>
      <c r="BA56" s="8" t="str">
        <f>IF(OR(표1_3[[#This Row],[등급]]="명서",(표1_3[[#This Row],[등급]]="고급")),IF(AP56="","",AP56*$AR56),"")</f>
        <v/>
      </c>
      <c r="BB56" s="8" t="str">
        <f>IF(OR(표1_3[[#This Row],[등급]]="명서",(표1_3[[#This Row],[등급]]="고급")),IF(AQ56="","",AQ56*$AR56),"")</f>
        <v/>
      </c>
    </row>
    <row r="57" spans="1:54" x14ac:dyDescent="0.3">
      <c r="A57" s="5" t="s">
        <v>83</v>
      </c>
      <c r="B57" s="6" t="s">
        <v>12</v>
      </c>
      <c r="C57" s="6" t="s">
        <v>798</v>
      </c>
      <c r="D57" s="7" t="s">
        <v>107</v>
      </c>
      <c r="E57" s="7">
        <f t="array" ref="E57">INDEX(표1[내 책 등급], MATCH(1, (표1[사용자] ='성장 시뮬레이터'!$B$1) * (표1[책이름] = D57), 0))</f>
        <v>9</v>
      </c>
      <c r="F57" s="6" t="s">
        <v>103</v>
      </c>
      <c r="G57" s="142">
        <v>140</v>
      </c>
      <c r="H57" s="8" t="str">
        <f>IF(ISNUMBER(SEARCH("여", F57)), IF('성장 시뮬레이터'!$C$9=2, "O", "X"), "O")</f>
        <v>X</v>
      </c>
      <c r="I57" s="8" t="str">
        <f>IF(OR(ISNUMBER(SEARCH("위나라", F57)), ISNUMBER(SEARCH("촉나라", F57)), ISNUMBER(SEARCH("오나라", F57)), ISNUMBER(SEARCH("군웅", F57))), IF(ISNUMBER(SEARCH('성장 시뮬레이터'!$C$10, F57)), "O", "X"), "O")</f>
        <v>O</v>
      </c>
      <c r="J57" s="8" t="str">
        <f>IF(
    AND(
        H57="O",
        I57="O",
        IF(ISNUMBER(SEARCH("무력+지력", F57)), ('성장 시뮬레이터'!$G$5+'성장 시뮬레이터'!$G$6) &gt;= G57,
           IF(ISNUMBER(SEARCH("무력", F57)), '성장 시뮬레이터'!$G$5 &gt;= G57,
           IF(ISNUMBER(SEARCH("지력", F57)), '성장 시뮬레이터'!$G$6 &gt;= G57,
           IF(ISNUMBER(SEARCH("내력", F57)), '성장 시뮬레이터'!$G$7 &gt;= G57,
           IF(ISNUMBER(SEARCH("체력", F57)), '성장 시뮬레이터'!$G$8 &gt;= G57, FALSE)))))
    ), "O", "X")</f>
        <v>X</v>
      </c>
      <c r="K57" s="106" t="str">
        <f>IF(
    AND(
        H57="O",
        I57="O",
        IF(ISNUMBER(SEARCH("무력+지력", F57)), ('성장 시뮬레이터'!$I$5+'성장 시뮬레이터'!$I$6) &gt;= G57,
           IF(ISNUMBER(SEARCH("무력", F57)), '성장 시뮬레이터'!$I$5 &gt;= G57,
           IF(ISNUMBER(SEARCH("지력", F57)), '성장 시뮬레이터'!$I$6 &gt;= G57,
           IF(ISNUMBER(SEARCH("내력", F57)), '성장 시뮬레이터'!$I$7 &gt;= G57,
           IF(ISNUMBER(SEARCH("체력", F57)), '성장 시뮬레이터'!$I$8 &gt;= G57, FALSE)))))
    ), "O", "X")</f>
        <v>X</v>
      </c>
      <c r="L57" s="106" t="str">
        <f>IF(
    AND(
        H57="O",
        I57="O",
        IF(ISNUMBER(SEARCH("무력+지력", F57)), ('성장 시뮬레이터'!$K$5+'성장 시뮬레이터'!$K$6) &gt;= G57,
           IF(ISNUMBER(SEARCH("무력", F57)), '성장 시뮬레이터'!$K$5 &gt;= G57,
           IF(ISNUMBER(SEARCH("지력", F57)), '성장 시뮬레이터'!$K$6 &gt;= G57,
           IF(ISNUMBER(SEARCH("내력", F57)), '성장 시뮬레이터'!$K$7 &gt;= G57,
           IF(ISNUMBER(SEARCH("체력", F57)), '성장 시뮬레이터'!$K$8 &gt;= G57, FALSE)))))
    ), "O", "X")</f>
        <v>X</v>
      </c>
      <c r="M57" s="106" t="str">
        <f>IF(
    AND(
        H57="O",
        I57="O",
        IF(ISNUMBER(SEARCH("무력+지력", F57)), ('성장 시뮬레이터'!$M$5+'성장 시뮬레이터'!$M$6) &gt;= G57,
           IF(ISNUMBER(SEARCH("무력", F57)), '성장 시뮬레이터'!$M$5 &gt;= G57,
           IF(ISNUMBER(SEARCH("지력", F57)), '성장 시뮬레이터'!$M$6 &gt;= G57,
           IF(ISNUMBER(SEARCH("내력", F57)), '성장 시뮬레이터'!$M$7 &gt;= G57,
           IF(ISNUMBER(SEARCH("체력", F57)), '성장 시뮬레이터'!$M$8 &gt;= G57, FALSE)))))
    ), "O", "X")</f>
        <v>X</v>
      </c>
      <c r="N57" s="106" t="str">
        <f>IF(
    AND(
        H57="O",
        I57="O",
        IF(ISNUMBER(SEARCH("무력+지력", F57)), ('성장 시뮬레이터'!$O$5+'성장 시뮬레이터'!$O$6) &gt;= G57,
           IF(ISNUMBER(SEARCH("무력", F57)), '성장 시뮬레이터'!$O$5 &gt;= G57,
           IF(ISNUMBER(SEARCH("지력", F57)), '성장 시뮬레이터'!$O$6 &gt;= G57,
           IF(ISNUMBER(SEARCH("내력", F57)), '성장 시뮬레이터'!$O$7 &gt;= G57,
           IF(ISNUMBER(SEARCH("체력", F57)), '성장 시뮬레이터'!$O$8 &gt;= G57, FALSE)))))
    ), "O", "X")</f>
        <v>X</v>
      </c>
      <c r="O57" s="106" t="str">
        <f>IF(
    AND(
        H57="O",
        I57="O",
        IF(ISNUMBER(SEARCH("무력+지력", F57)), ('성장 시뮬레이터'!$Q$5+'성장 시뮬레이터'!$Q$6) &gt;= G57,
           IF(ISNUMBER(SEARCH("무력", F57)), '성장 시뮬레이터'!$Q$5 &gt;= G57,
           IF(ISNUMBER(SEARCH("지력", F57)), '성장 시뮬레이터'!$Q$6 &gt;= G57,
           IF(ISNUMBER(SEARCH("내력", F57)), '성장 시뮬레이터'!$Q$7 &gt;= G57,
           IF(ISNUMBER(SEARCH("체력", F57)), '성장 시뮬레이터'!$Q$8 &gt;= G57, FALSE)))))
    ), "O", "X")</f>
        <v>X</v>
      </c>
      <c r="P57" s="106" t="s">
        <v>905</v>
      </c>
      <c r="Q57" s="142">
        <f t="shared" si="12"/>
        <v>150</v>
      </c>
      <c r="R57" s="142">
        <f t="shared" si="13"/>
        <v>200</v>
      </c>
      <c r="S57" s="142" t="str">
        <f t="shared" si="14"/>
        <v/>
      </c>
      <c r="T57" s="142" t="str">
        <f t="shared" si="15"/>
        <v/>
      </c>
      <c r="U57" s="142" t="str">
        <f t="shared" si="16"/>
        <v/>
      </c>
      <c r="V57" s="142" t="str">
        <f t="shared" si="17"/>
        <v/>
      </c>
      <c r="W57" s="142" t="str">
        <f t="shared" si="18"/>
        <v/>
      </c>
      <c r="X57" s="142" t="str">
        <f t="shared" si="19"/>
        <v/>
      </c>
      <c r="Y57" s="142" t="str">
        <f t="shared" si="20"/>
        <v/>
      </c>
      <c r="Z57" s="142" t="str">
        <f t="shared" si="21"/>
        <v/>
      </c>
      <c r="AA57" s="11" t="s">
        <v>15</v>
      </c>
      <c r="AB57" s="11"/>
      <c r="AC57" s="11"/>
      <c r="AD57" s="11"/>
      <c r="AE57" s="12"/>
      <c r="AF57" s="144" t="s">
        <v>16</v>
      </c>
      <c r="AH57" s="8">
        <v>30</v>
      </c>
      <c r="AI57" s="8">
        <v>40</v>
      </c>
      <c r="AJ57" s="8"/>
      <c r="AK57" s="8"/>
      <c r="AL57" s="8"/>
      <c r="AM57" s="8"/>
      <c r="AN57" s="8"/>
      <c r="AO57" s="8"/>
      <c r="AP57" s="8"/>
      <c r="AQ57" s="8"/>
      <c r="AR57" s="103">
        <v>1.5</v>
      </c>
      <c r="AS57" s="8">
        <f>IF(OR(표1_3[[#This Row],[등급]]="명서",(표1_3[[#This Row],[등급]]="고급")),IF(AH57="","",AH57*$AR57),"")</f>
        <v>45</v>
      </c>
      <c r="AT57" s="8">
        <f>IF(OR(표1_3[[#This Row],[등급]]="명서",(표1_3[[#This Row],[등급]]="고급")),IF(AI57="","",AI57*$AR57),"")</f>
        <v>60</v>
      </c>
      <c r="AU57" s="8" t="str">
        <f>IF(OR(표1_3[[#This Row],[등급]]="명서",(표1_3[[#This Row],[등급]]="고급")),IF(AJ57="","",AJ57*$AR57),"")</f>
        <v/>
      </c>
      <c r="AV57" s="8" t="str">
        <f>IF(OR(표1_3[[#This Row],[등급]]="명서",(표1_3[[#This Row],[등급]]="고급")),IF(AK57="","",AK57*$AR57),"")</f>
        <v/>
      </c>
      <c r="AW57" s="8" t="str">
        <f>IF(OR(표1_3[[#This Row],[등급]]="명서",(표1_3[[#This Row],[등급]]="고급")),IF(AL57="","",AL57*$AR57),"")</f>
        <v/>
      </c>
      <c r="AX57" s="8" t="str">
        <f>IF(OR(표1_3[[#This Row],[등급]]="명서",(표1_3[[#This Row],[등급]]="고급")),IF(AM57="","",AM57*$AR57),"")</f>
        <v/>
      </c>
      <c r="AY57" s="8" t="str">
        <f>IF(OR(표1_3[[#This Row],[등급]]="명서",(표1_3[[#This Row],[등급]]="고급")),IF(AN57="","",AN57*$AR57),"")</f>
        <v/>
      </c>
      <c r="AZ57" s="8" t="str">
        <f>IF(OR(표1_3[[#This Row],[등급]]="명서",(표1_3[[#This Row],[등급]]="고급")),IF(AO57="","",AO57*$AR57),"")</f>
        <v/>
      </c>
      <c r="BA57" s="8" t="str">
        <f>IF(OR(표1_3[[#This Row],[등급]]="명서",(표1_3[[#This Row],[등급]]="고급")),IF(AP57="","",AP57*$AR57),"")</f>
        <v/>
      </c>
      <c r="BB57" s="8" t="str">
        <f>IF(OR(표1_3[[#This Row],[등급]]="명서",(표1_3[[#This Row],[등급]]="고급")),IF(AQ57="","",AQ57*$AR57),"")</f>
        <v/>
      </c>
    </row>
    <row r="58" spans="1:54" x14ac:dyDescent="0.3">
      <c r="A58" s="5" t="s">
        <v>83</v>
      </c>
      <c r="B58" s="6" t="s">
        <v>12</v>
      </c>
      <c r="C58" s="6" t="s">
        <v>797</v>
      </c>
      <c r="D58" s="105" t="s">
        <v>183</v>
      </c>
      <c r="E58" s="7">
        <f t="array" ref="E58">INDEX(표1[내 책 등급], MATCH(1, (표1[사용자] ='성장 시뮬레이터'!$B$1) * (표1[책이름] = D58), 0))</f>
        <v>9</v>
      </c>
      <c r="F58" s="106" t="s">
        <v>188</v>
      </c>
      <c r="G58" s="147">
        <v>100</v>
      </c>
      <c r="H58" s="106" t="str">
        <f>IF(ISNUMBER(SEARCH("여", F58)), IF('성장 시뮬레이터'!$C$9=2, "O", "X"), "O")</f>
        <v>O</v>
      </c>
      <c r="I58" s="106" t="str">
        <f>IF(OR(ISNUMBER(SEARCH("위나라", F58)), ISNUMBER(SEARCH("촉나라", F58)), ISNUMBER(SEARCH("오나라", F58)), ISNUMBER(SEARCH("군웅", F58))), IF(ISNUMBER(SEARCH('성장 시뮬레이터'!$C$10, F58)), "O", "X"), "O")</f>
        <v>X</v>
      </c>
      <c r="J58" s="8" t="str">
        <f>IF(
    AND(
        H58="O",
        I58="O",
        IF(ISNUMBER(SEARCH("무력+지력", F58)), ('성장 시뮬레이터'!$G$5+'성장 시뮬레이터'!$G$6) &gt;= G58,
           IF(ISNUMBER(SEARCH("무력", F58)), '성장 시뮬레이터'!$G$5 &gt;= G58,
           IF(ISNUMBER(SEARCH("지력", F58)), '성장 시뮬레이터'!$G$6 &gt;= G58,
           IF(ISNUMBER(SEARCH("내력", F58)), '성장 시뮬레이터'!$G$7 &gt;= G58,
           IF(ISNUMBER(SEARCH("체력", F58)), '성장 시뮬레이터'!$G$8 &gt;= G58, FALSE)))))
    ), "O", "X")</f>
        <v>X</v>
      </c>
      <c r="K58" s="106" t="str">
        <f>IF(
    AND(
        H58="O",
        I58="O",
        IF(ISNUMBER(SEARCH("무력+지력", F58)), ('성장 시뮬레이터'!$I$5+'성장 시뮬레이터'!$I$6) &gt;= G58,
           IF(ISNUMBER(SEARCH("무력", F58)), '성장 시뮬레이터'!$I$5 &gt;= G58,
           IF(ISNUMBER(SEARCH("지력", F58)), '성장 시뮬레이터'!$I$6 &gt;= G58,
           IF(ISNUMBER(SEARCH("내력", F58)), '성장 시뮬레이터'!$I$7 &gt;= G58,
           IF(ISNUMBER(SEARCH("체력", F58)), '성장 시뮬레이터'!$I$8 &gt;= G58, FALSE)))))
    ), "O", "X")</f>
        <v>X</v>
      </c>
      <c r="L58" s="106" t="str">
        <f>IF(
    AND(
        H58="O",
        I58="O",
        IF(ISNUMBER(SEARCH("무력+지력", F58)), ('성장 시뮬레이터'!$K$5+'성장 시뮬레이터'!$K$6) &gt;= G58,
           IF(ISNUMBER(SEARCH("무력", F58)), '성장 시뮬레이터'!$K$5 &gt;= G58,
           IF(ISNUMBER(SEARCH("지력", F58)), '성장 시뮬레이터'!$K$6 &gt;= G58,
           IF(ISNUMBER(SEARCH("내력", F58)), '성장 시뮬레이터'!$K$7 &gt;= G58,
           IF(ISNUMBER(SEARCH("체력", F58)), '성장 시뮬레이터'!$K$8 &gt;= G58, FALSE)))))
    ), "O", "X")</f>
        <v>X</v>
      </c>
      <c r="M58" s="106" t="str">
        <f>IF(
    AND(
        H58="O",
        I58="O",
        IF(ISNUMBER(SEARCH("무력+지력", F58)), ('성장 시뮬레이터'!$M$5+'성장 시뮬레이터'!$M$6) &gt;= G58,
           IF(ISNUMBER(SEARCH("무력", F58)), '성장 시뮬레이터'!$M$5 &gt;= G58,
           IF(ISNUMBER(SEARCH("지력", F58)), '성장 시뮬레이터'!$M$6 &gt;= G58,
           IF(ISNUMBER(SEARCH("내력", F58)), '성장 시뮬레이터'!$M$7 &gt;= G58,
           IF(ISNUMBER(SEARCH("체력", F58)), '성장 시뮬레이터'!$M$8 &gt;= G58, FALSE)))))
    ), "O", "X")</f>
        <v>X</v>
      </c>
      <c r="N58" s="106" t="str">
        <f>IF(
    AND(
        H58="O",
        I58="O",
        IF(ISNUMBER(SEARCH("무력+지력", F58)), ('성장 시뮬레이터'!$O$5+'성장 시뮬레이터'!$O$6) &gt;= G58,
           IF(ISNUMBER(SEARCH("무력", F58)), '성장 시뮬레이터'!$O$5 &gt;= G58,
           IF(ISNUMBER(SEARCH("지력", F58)), '성장 시뮬레이터'!$O$6 &gt;= G58,
           IF(ISNUMBER(SEARCH("내력", F58)), '성장 시뮬레이터'!$O$7 &gt;= G58,
           IF(ISNUMBER(SEARCH("체력", F58)), '성장 시뮬레이터'!$O$8 &gt;= G58, FALSE)))))
    ), "O", "X")</f>
        <v>X</v>
      </c>
      <c r="O58" s="106" t="str">
        <f>IF(
    AND(
        H58="O",
        I58="O",
        IF(ISNUMBER(SEARCH("무력+지력", F58)), ('성장 시뮬레이터'!$Q$5+'성장 시뮬레이터'!$Q$6) &gt;= G58,
           IF(ISNUMBER(SEARCH("무력", F58)), '성장 시뮬레이터'!$Q$5 &gt;= G58,
           IF(ISNUMBER(SEARCH("지력", F58)), '성장 시뮬레이터'!$Q$6 &gt;= G58,
           IF(ISNUMBER(SEARCH("내력", F58)), '성장 시뮬레이터'!$Q$7 &gt;= G58,
           IF(ISNUMBER(SEARCH("체력", F58)), '성장 시뮬레이터'!$Q$8 &gt;= G58, FALSE)))))
    ), "O", "X")</f>
        <v>X</v>
      </c>
      <c r="P58" s="106" t="s">
        <v>905</v>
      </c>
      <c r="Q58" s="142">
        <f t="shared" si="12"/>
        <v>200</v>
      </c>
      <c r="R58" s="142">
        <f t="shared" si="13"/>
        <v>150</v>
      </c>
      <c r="S58" s="142" t="str">
        <f t="shared" si="14"/>
        <v/>
      </c>
      <c r="T58" s="142" t="str">
        <f t="shared" si="15"/>
        <v/>
      </c>
      <c r="U58" s="142" t="str">
        <f t="shared" si="16"/>
        <v/>
      </c>
      <c r="V58" s="142" t="str">
        <f t="shared" si="17"/>
        <v/>
      </c>
      <c r="W58" s="142" t="str">
        <f t="shared" si="18"/>
        <v/>
      </c>
      <c r="X58" s="142" t="str">
        <f t="shared" si="19"/>
        <v/>
      </c>
      <c r="Y58" s="142" t="str">
        <f t="shared" si="20"/>
        <v/>
      </c>
      <c r="Z58" s="142" t="str">
        <f t="shared" si="21"/>
        <v/>
      </c>
      <c r="AA58" s="9" t="s">
        <v>193</v>
      </c>
      <c r="AB58" s="9"/>
      <c r="AC58" s="9"/>
      <c r="AD58" s="9"/>
      <c r="AE58" s="10"/>
      <c r="AF58" s="143" t="s">
        <v>194</v>
      </c>
      <c r="AH58" s="8">
        <v>40</v>
      </c>
      <c r="AI58" s="8">
        <v>30</v>
      </c>
      <c r="AJ58" s="8"/>
      <c r="AK58" s="8"/>
      <c r="AL58" s="8"/>
      <c r="AM58" s="8"/>
      <c r="AN58" s="8"/>
      <c r="AO58" s="8"/>
      <c r="AP58" s="8"/>
      <c r="AQ58" s="8"/>
      <c r="AR58" s="103">
        <v>1.5</v>
      </c>
      <c r="AS58" s="8">
        <f>IF(OR(표1_3[[#This Row],[등급]]="명서",(표1_3[[#This Row],[등급]]="고급")),IF(AH58="","",AH58*$AR58),"")</f>
        <v>60</v>
      </c>
      <c r="AT58" s="8">
        <f>IF(OR(표1_3[[#This Row],[등급]]="명서",(표1_3[[#This Row],[등급]]="고급")),IF(AI58="","",AI58*$AR58),"")</f>
        <v>45</v>
      </c>
      <c r="AU58" s="8" t="str">
        <f>IF(OR(표1_3[[#This Row],[등급]]="명서",(표1_3[[#This Row],[등급]]="고급")),IF(AJ58="","",AJ58*$AR58),"")</f>
        <v/>
      </c>
      <c r="AV58" s="8" t="str">
        <f>IF(OR(표1_3[[#This Row],[등급]]="명서",(표1_3[[#This Row],[등급]]="고급")),IF(AK58="","",AK58*$AR58),"")</f>
        <v/>
      </c>
      <c r="AW58" s="8" t="str">
        <f>IF(OR(표1_3[[#This Row],[등급]]="명서",(표1_3[[#This Row],[등급]]="고급")),IF(AL58="","",AL58*$AR58),"")</f>
        <v/>
      </c>
      <c r="AX58" s="8" t="str">
        <f>IF(OR(표1_3[[#This Row],[등급]]="명서",(표1_3[[#This Row],[등급]]="고급")),IF(AM58="","",AM58*$AR58),"")</f>
        <v/>
      </c>
      <c r="AY58" s="8" t="str">
        <f>IF(OR(표1_3[[#This Row],[등급]]="명서",(표1_3[[#This Row],[등급]]="고급")),IF(AN58="","",AN58*$AR58),"")</f>
        <v/>
      </c>
      <c r="AZ58" s="8" t="str">
        <f>IF(OR(표1_3[[#This Row],[등급]]="명서",(표1_3[[#This Row],[등급]]="고급")),IF(AO58="","",AO58*$AR58),"")</f>
        <v/>
      </c>
      <c r="BA58" s="8" t="str">
        <f>IF(OR(표1_3[[#This Row],[등급]]="명서",(표1_3[[#This Row],[등급]]="고급")),IF(AP58="","",AP58*$AR58),"")</f>
        <v/>
      </c>
      <c r="BB58" s="8" t="str">
        <f>IF(OR(표1_3[[#This Row],[등급]]="명서",(표1_3[[#This Row],[등급]]="고급")),IF(AQ58="","",AQ58*$AR58),"")</f>
        <v/>
      </c>
    </row>
    <row r="59" spans="1:54" x14ac:dyDescent="0.3">
      <c r="A59" s="5" t="s">
        <v>83</v>
      </c>
      <c r="B59" s="6" t="s">
        <v>12</v>
      </c>
      <c r="C59" s="6" t="s">
        <v>797</v>
      </c>
      <c r="D59" s="105" t="s">
        <v>184</v>
      </c>
      <c r="E59" s="7">
        <f t="array" ref="E59">INDEX(표1[내 책 등급], MATCH(1, (표1[사용자] ='성장 시뮬레이터'!$B$1) * (표1[책이름] = D59), 0))</f>
        <v>10</v>
      </c>
      <c r="F59" s="106" t="s">
        <v>203</v>
      </c>
      <c r="G59" s="147">
        <v>200</v>
      </c>
      <c r="H59" s="106" t="str">
        <f>IF(ISNUMBER(SEARCH("여", F59)), IF('성장 시뮬레이터'!$C$9=2, "O", "X"), "O")</f>
        <v>O</v>
      </c>
      <c r="I59" s="106" t="str">
        <f>IF(OR(ISNUMBER(SEARCH("위나라", F59)), ISNUMBER(SEARCH("촉나라", F59)), ISNUMBER(SEARCH("오나라", F59)), ISNUMBER(SEARCH("군웅", F59))), IF(ISNUMBER(SEARCH('성장 시뮬레이터'!$C$10, F59)), "O", "X"), "O")</f>
        <v>O</v>
      </c>
      <c r="J59" s="8" t="str">
        <f>IF(
    AND(
        H59="O",
        I59="O",
        IF(ISNUMBER(SEARCH("무력+지력", F59)), ('성장 시뮬레이터'!$G$5+'성장 시뮬레이터'!$G$6) &gt;= G59,
           IF(ISNUMBER(SEARCH("무력", F59)), '성장 시뮬레이터'!$G$5 &gt;= G59,
           IF(ISNUMBER(SEARCH("지력", F59)), '성장 시뮬레이터'!$G$6 &gt;= G59,
           IF(ISNUMBER(SEARCH("내력", F59)), '성장 시뮬레이터'!$G$7 &gt;= G59,
           IF(ISNUMBER(SEARCH("체력", F59)), '성장 시뮬레이터'!$G$8 &gt;= G59, FALSE)))))
    ), "O", "X")</f>
        <v>X</v>
      </c>
      <c r="K59" s="106" t="str">
        <f>IF(
    AND(
        H59="O",
        I59="O",
        IF(ISNUMBER(SEARCH("무력+지력", F59)), ('성장 시뮬레이터'!$I$5+'성장 시뮬레이터'!$I$6) &gt;= G59,
           IF(ISNUMBER(SEARCH("무력", F59)), '성장 시뮬레이터'!$I$5 &gt;= G59,
           IF(ISNUMBER(SEARCH("지력", F59)), '성장 시뮬레이터'!$I$6 &gt;= G59,
           IF(ISNUMBER(SEARCH("내력", F59)), '성장 시뮬레이터'!$I$7 &gt;= G59,
           IF(ISNUMBER(SEARCH("체력", F59)), '성장 시뮬레이터'!$I$8 &gt;= G59, FALSE)))))
    ), "O", "X")</f>
        <v>X</v>
      </c>
      <c r="L59" s="106" t="str">
        <f>IF(
    AND(
        H59="O",
        I59="O",
        IF(ISNUMBER(SEARCH("무력+지력", F59)), ('성장 시뮬레이터'!$K$5+'성장 시뮬레이터'!$K$6) &gt;= G59,
           IF(ISNUMBER(SEARCH("무력", F59)), '성장 시뮬레이터'!$K$5 &gt;= G59,
           IF(ISNUMBER(SEARCH("지력", F59)), '성장 시뮬레이터'!$K$6 &gt;= G59,
           IF(ISNUMBER(SEARCH("내력", F59)), '성장 시뮬레이터'!$K$7 &gt;= G59,
           IF(ISNUMBER(SEARCH("체력", F59)), '성장 시뮬레이터'!$K$8 &gt;= G59, FALSE)))))
    ), "O", "X")</f>
        <v>O</v>
      </c>
      <c r="M59" s="106" t="str">
        <f>IF(
    AND(
        H59="O",
        I59="O",
        IF(ISNUMBER(SEARCH("무력+지력", F59)), ('성장 시뮬레이터'!$M$5+'성장 시뮬레이터'!$M$6) &gt;= G59,
           IF(ISNUMBER(SEARCH("무력", F59)), '성장 시뮬레이터'!$M$5 &gt;= G59,
           IF(ISNUMBER(SEARCH("지력", F59)), '성장 시뮬레이터'!$M$6 &gt;= G59,
           IF(ISNUMBER(SEARCH("내력", F59)), '성장 시뮬레이터'!$M$7 &gt;= G59,
           IF(ISNUMBER(SEARCH("체력", F59)), '성장 시뮬레이터'!$M$8 &gt;= G59, FALSE)))))
    ), "O", "X")</f>
        <v>O</v>
      </c>
      <c r="N59" s="106" t="str">
        <f>IF(
    AND(
        H59="O",
        I59="O",
        IF(ISNUMBER(SEARCH("무력+지력", F59)), ('성장 시뮬레이터'!$O$5+'성장 시뮬레이터'!$O$6) &gt;= G59,
           IF(ISNUMBER(SEARCH("무력", F59)), '성장 시뮬레이터'!$O$5 &gt;= G59,
           IF(ISNUMBER(SEARCH("지력", F59)), '성장 시뮬레이터'!$O$6 &gt;= G59,
           IF(ISNUMBER(SEARCH("내력", F59)), '성장 시뮬레이터'!$O$7 &gt;= G59,
           IF(ISNUMBER(SEARCH("체력", F59)), '성장 시뮬레이터'!$O$8 &gt;= G59, FALSE)))))
    ), "O", "X")</f>
        <v>O</v>
      </c>
      <c r="O59" s="106" t="str">
        <f>IF(
    AND(
        H59="O",
        I59="O",
        IF(ISNUMBER(SEARCH("무력+지력", F59)), ('성장 시뮬레이터'!$Q$5+'성장 시뮬레이터'!$Q$6) &gt;= G59,
           IF(ISNUMBER(SEARCH("무력", F59)), '성장 시뮬레이터'!$Q$5 &gt;= G59,
           IF(ISNUMBER(SEARCH("지력", F59)), '성장 시뮬레이터'!$Q$6 &gt;= G59,
           IF(ISNUMBER(SEARCH("내력", F59)), '성장 시뮬레이터'!$Q$7 &gt;= G59,
           IF(ISNUMBER(SEARCH("체력", F59)), '성장 시뮬레이터'!$Q$8 &gt;= G59, FALSE)))))
    ), "O", "X")</f>
        <v>O</v>
      </c>
      <c r="P59" s="106" t="s">
        <v>904</v>
      </c>
      <c r="Q59" s="142">
        <f t="shared" si="12"/>
        <v>260</v>
      </c>
      <c r="R59" s="142" t="str">
        <f t="shared" si="13"/>
        <v/>
      </c>
      <c r="S59" s="142" t="str">
        <f t="shared" si="14"/>
        <v/>
      </c>
      <c r="T59" s="142" t="str">
        <f t="shared" si="15"/>
        <v/>
      </c>
      <c r="U59" s="142" t="str">
        <f t="shared" si="16"/>
        <v/>
      </c>
      <c r="V59" s="142" t="str">
        <f t="shared" si="17"/>
        <v/>
      </c>
      <c r="W59" s="142" t="str">
        <f t="shared" si="18"/>
        <v/>
      </c>
      <c r="X59" s="142" t="str">
        <f t="shared" si="19"/>
        <v/>
      </c>
      <c r="Y59" s="142">
        <f t="shared" si="20"/>
        <v>130</v>
      </c>
      <c r="Z59" s="142" t="str">
        <f t="shared" si="21"/>
        <v/>
      </c>
      <c r="AA59" s="9" t="s">
        <v>204</v>
      </c>
      <c r="AB59" s="9"/>
      <c r="AC59" s="9"/>
      <c r="AD59" s="9"/>
      <c r="AE59" s="10"/>
      <c r="AF59" s="143" t="s">
        <v>205</v>
      </c>
      <c r="AH59" s="8">
        <v>40</v>
      </c>
      <c r="AI59" s="8"/>
      <c r="AJ59" s="8"/>
      <c r="AK59" s="8"/>
      <c r="AL59" s="8"/>
      <c r="AM59" s="8"/>
      <c r="AN59" s="8"/>
      <c r="AO59" s="8"/>
      <c r="AP59" s="8">
        <v>20</v>
      </c>
      <c r="AQ59" s="8"/>
      <c r="AR59" s="103">
        <v>1.5</v>
      </c>
      <c r="AS59" s="8">
        <f>IF(OR(표1_3[[#This Row],[등급]]="명서",(표1_3[[#This Row],[등급]]="고급")),IF(AH59="","",AH59*$AR59),"")</f>
        <v>60</v>
      </c>
      <c r="AT59" s="8" t="str">
        <f>IF(OR(표1_3[[#This Row],[등급]]="명서",(표1_3[[#This Row],[등급]]="고급")),IF(AI59="","",AI59*$AR59),"")</f>
        <v/>
      </c>
      <c r="AU59" s="8" t="str">
        <f>IF(OR(표1_3[[#This Row],[등급]]="명서",(표1_3[[#This Row],[등급]]="고급")),IF(AJ59="","",AJ59*$AR59),"")</f>
        <v/>
      </c>
      <c r="AV59" s="8" t="str">
        <f>IF(OR(표1_3[[#This Row],[등급]]="명서",(표1_3[[#This Row],[등급]]="고급")),IF(AK59="","",AK59*$AR59),"")</f>
        <v/>
      </c>
      <c r="AW59" s="8" t="str">
        <f>IF(OR(표1_3[[#This Row],[등급]]="명서",(표1_3[[#This Row],[등급]]="고급")),IF(AL59="","",AL59*$AR59),"")</f>
        <v/>
      </c>
      <c r="AX59" s="8" t="str">
        <f>IF(OR(표1_3[[#This Row],[등급]]="명서",(표1_3[[#This Row],[등급]]="고급")),IF(AM59="","",AM59*$AR59),"")</f>
        <v/>
      </c>
      <c r="AY59" s="8" t="str">
        <f>IF(OR(표1_3[[#This Row],[등급]]="명서",(표1_3[[#This Row],[등급]]="고급")),IF(AN59="","",AN59*$AR59),"")</f>
        <v/>
      </c>
      <c r="AZ59" s="8" t="str">
        <f>IF(OR(표1_3[[#This Row],[등급]]="명서",(표1_3[[#This Row],[등급]]="고급")),IF(AO59="","",AO59*$AR59),"")</f>
        <v/>
      </c>
      <c r="BA59" s="8">
        <f>IF(OR(표1_3[[#This Row],[등급]]="명서",(표1_3[[#This Row],[등급]]="고급")),IF(AP59="","",AP59*$AR59),"")</f>
        <v>30</v>
      </c>
      <c r="BB59" s="8" t="str">
        <f>IF(OR(표1_3[[#This Row],[등급]]="명서",(표1_3[[#This Row],[등급]]="고급")),IF(AQ59="","",AQ59*$AR59),"")</f>
        <v/>
      </c>
    </row>
    <row r="60" spans="1:54" x14ac:dyDescent="0.3">
      <c r="A60" s="5" t="s">
        <v>83</v>
      </c>
      <c r="B60" s="6" t="s">
        <v>12</v>
      </c>
      <c r="C60" s="6" t="s">
        <v>788</v>
      </c>
      <c r="D60" s="105" t="s">
        <v>219</v>
      </c>
      <c r="E60" s="7">
        <f t="array" ref="E60">INDEX(표1[내 책 등급], MATCH(1, (표1[사용자] ='성장 시뮬레이터'!$B$1) * (표1[책이름] = D60), 0))</f>
        <v>5</v>
      </c>
      <c r="F60" s="6" t="s">
        <v>232</v>
      </c>
      <c r="G60" s="147">
        <v>98</v>
      </c>
      <c r="H60" s="106" t="str">
        <f>IF(ISNUMBER(SEARCH("여", F60)), IF('성장 시뮬레이터'!$C$9=2, "O", "X"), "O")</f>
        <v>X</v>
      </c>
      <c r="I60" s="106" t="str">
        <f>IF(OR(ISNUMBER(SEARCH("위나라", F60)), ISNUMBER(SEARCH("촉나라", F60)), ISNUMBER(SEARCH("오나라", F60)), ISNUMBER(SEARCH("군웅", F60))), IF(ISNUMBER(SEARCH('성장 시뮬레이터'!$C$10, F60)), "O", "X"), "O")</f>
        <v>O</v>
      </c>
      <c r="J60" s="8" t="str">
        <f>IF(
    AND(
        H60="O",
        I60="O",
        IF(ISNUMBER(SEARCH("무력+지력", F60)), ('성장 시뮬레이터'!$G$5+'성장 시뮬레이터'!$G$6) &gt;= G60,
           IF(ISNUMBER(SEARCH("무력", F60)), '성장 시뮬레이터'!$G$5 &gt;= G60,
           IF(ISNUMBER(SEARCH("지력", F60)), '성장 시뮬레이터'!$G$6 &gt;= G60,
           IF(ISNUMBER(SEARCH("내력", F60)), '성장 시뮬레이터'!$G$7 &gt;= G60,
           IF(ISNUMBER(SEARCH("체력", F60)), '성장 시뮬레이터'!$G$8 &gt;= G60, FALSE)))))
    ), "O", "X")</f>
        <v>X</v>
      </c>
      <c r="K60" s="106" t="str">
        <f>IF(
    AND(
        H60="O",
        I60="O",
        IF(ISNUMBER(SEARCH("무력+지력", F60)), ('성장 시뮬레이터'!$I$5+'성장 시뮬레이터'!$I$6) &gt;= G60,
           IF(ISNUMBER(SEARCH("무력", F60)), '성장 시뮬레이터'!$I$5 &gt;= G60,
           IF(ISNUMBER(SEARCH("지력", F60)), '성장 시뮬레이터'!$I$6 &gt;= G60,
           IF(ISNUMBER(SEARCH("내력", F60)), '성장 시뮬레이터'!$I$7 &gt;= G60,
           IF(ISNUMBER(SEARCH("체력", F60)), '성장 시뮬레이터'!$I$8 &gt;= G60, FALSE)))))
    ), "O", "X")</f>
        <v>X</v>
      </c>
      <c r="L60" s="106" t="str">
        <f>IF(
    AND(
        H60="O",
        I60="O",
        IF(ISNUMBER(SEARCH("무력+지력", F60)), ('성장 시뮬레이터'!$K$5+'성장 시뮬레이터'!$K$6) &gt;= G60,
           IF(ISNUMBER(SEARCH("무력", F60)), '성장 시뮬레이터'!$K$5 &gt;= G60,
           IF(ISNUMBER(SEARCH("지력", F60)), '성장 시뮬레이터'!$K$6 &gt;= G60,
           IF(ISNUMBER(SEARCH("내력", F60)), '성장 시뮬레이터'!$K$7 &gt;= G60,
           IF(ISNUMBER(SEARCH("체력", F60)), '성장 시뮬레이터'!$K$8 &gt;= G60, FALSE)))))
    ), "O", "X")</f>
        <v>X</v>
      </c>
      <c r="M60" s="106" t="str">
        <f>IF(
    AND(
        H60="O",
        I60="O",
        IF(ISNUMBER(SEARCH("무력+지력", F60)), ('성장 시뮬레이터'!$M$5+'성장 시뮬레이터'!$M$6) &gt;= G60,
           IF(ISNUMBER(SEARCH("무력", F60)), '성장 시뮬레이터'!$M$5 &gt;= G60,
           IF(ISNUMBER(SEARCH("지력", F60)), '성장 시뮬레이터'!$M$6 &gt;= G60,
           IF(ISNUMBER(SEARCH("내력", F60)), '성장 시뮬레이터'!$M$7 &gt;= G60,
           IF(ISNUMBER(SEARCH("체력", F60)), '성장 시뮬레이터'!$M$8 &gt;= G60, FALSE)))))
    ), "O", "X")</f>
        <v>X</v>
      </c>
      <c r="N60" s="106" t="str">
        <f>IF(
    AND(
        H60="O",
        I60="O",
        IF(ISNUMBER(SEARCH("무력+지력", F60)), ('성장 시뮬레이터'!$O$5+'성장 시뮬레이터'!$O$6) &gt;= G60,
           IF(ISNUMBER(SEARCH("무력", F60)), '성장 시뮬레이터'!$O$5 &gt;= G60,
           IF(ISNUMBER(SEARCH("지력", F60)), '성장 시뮬레이터'!$O$6 &gt;= G60,
           IF(ISNUMBER(SEARCH("내력", F60)), '성장 시뮬레이터'!$O$7 &gt;= G60,
           IF(ISNUMBER(SEARCH("체력", F60)), '성장 시뮬레이터'!$O$8 &gt;= G60, FALSE)))))
    ), "O", "X")</f>
        <v>X</v>
      </c>
      <c r="O60" s="106" t="str">
        <f>IF(
    AND(
        H60="O",
        I60="O",
        IF(ISNUMBER(SEARCH("무력+지력", F60)), ('성장 시뮬레이터'!$Q$5+'성장 시뮬레이터'!$Q$6) &gt;= G60,
           IF(ISNUMBER(SEARCH("무력", F60)), '성장 시뮬레이터'!$Q$5 &gt;= G60,
           IF(ISNUMBER(SEARCH("지력", F60)), '성장 시뮬레이터'!$Q$6 &gt;= G60,
           IF(ISNUMBER(SEARCH("내력", F60)), '성장 시뮬레이터'!$Q$7 &gt;= G60,
           IF(ISNUMBER(SEARCH("체력", F60)), '성장 시뮬레이터'!$Q$8 &gt;= G60, FALSE)))))
    ), "O", "X")</f>
        <v>X</v>
      </c>
      <c r="P60" s="106" t="s">
        <v>905</v>
      </c>
      <c r="Q60" s="142">
        <f t="shared" si="12"/>
        <v>40</v>
      </c>
      <c r="R60" s="142" t="str">
        <f t="shared" si="13"/>
        <v/>
      </c>
      <c r="S60" s="142">
        <f t="shared" si="14"/>
        <v>30</v>
      </c>
      <c r="T60" s="142" t="str">
        <f t="shared" si="15"/>
        <v/>
      </c>
      <c r="U60" s="142" t="str">
        <f t="shared" si="16"/>
        <v/>
      </c>
      <c r="V60" s="142" t="str">
        <f t="shared" si="17"/>
        <v/>
      </c>
      <c r="W60" s="142" t="str">
        <f t="shared" si="18"/>
        <v/>
      </c>
      <c r="X60" s="142" t="str">
        <f t="shared" si="19"/>
        <v/>
      </c>
      <c r="Y60" s="142" t="str">
        <f t="shared" si="20"/>
        <v/>
      </c>
      <c r="Z60" s="142" t="str">
        <f t="shared" si="21"/>
        <v/>
      </c>
      <c r="AA60" s="9" t="s">
        <v>233</v>
      </c>
      <c r="AB60" s="9"/>
      <c r="AC60" s="9"/>
      <c r="AD60" s="9"/>
      <c r="AE60" s="10"/>
      <c r="AF60" s="143" t="s">
        <v>234</v>
      </c>
      <c r="AH60" s="8">
        <v>40</v>
      </c>
      <c r="AI60" s="8"/>
      <c r="AJ60" s="8">
        <v>30</v>
      </c>
      <c r="AK60" s="8"/>
      <c r="AL60" s="8"/>
      <c r="AM60" s="8"/>
      <c r="AN60" s="8"/>
      <c r="AO60" s="8"/>
      <c r="AP60" s="8"/>
      <c r="AQ60" s="8"/>
      <c r="AR60" s="103">
        <v>1.5</v>
      </c>
      <c r="AS60" s="8">
        <f>IF(OR(표1_3[[#This Row],[등급]]="명서",(표1_3[[#This Row],[등급]]="고급")),IF(AH60="","",AH60*$AR60),"")</f>
        <v>60</v>
      </c>
      <c r="AT60" s="8" t="str">
        <f>IF(OR(표1_3[[#This Row],[등급]]="명서",(표1_3[[#This Row],[등급]]="고급")),IF(AI60="","",AI60*$AR60),"")</f>
        <v/>
      </c>
      <c r="AU60" s="8">
        <f>IF(OR(표1_3[[#This Row],[등급]]="명서",(표1_3[[#This Row],[등급]]="고급")),IF(AJ60="","",AJ60*$AR60),"")</f>
        <v>45</v>
      </c>
      <c r="AV60" s="8" t="str">
        <f>IF(OR(표1_3[[#This Row],[등급]]="명서",(표1_3[[#This Row],[등급]]="고급")),IF(AK60="","",AK60*$AR60),"")</f>
        <v/>
      </c>
      <c r="AW60" s="8" t="str">
        <f>IF(OR(표1_3[[#This Row],[등급]]="명서",(표1_3[[#This Row],[등급]]="고급")),IF(AL60="","",AL60*$AR60),"")</f>
        <v/>
      </c>
      <c r="AX60" s="8" t="str">
        <f>IF(OR(표1_3[[#This Row],[등급]]="명서",(표1_3[[#This Row],[등급]]="고급")),IF(AM60="","",AM60*$AR60),"")</f>
        <v/>
      </c>
      <c r="AY60" s="8" t="str">
        <f>IF(OR(표1_3[[#This Row],[등급]]="명서",(표1_3[[#This Row],[등급]]="고급")),IF(AN60="","",AN60*$AR60),"")</f>
        <v/>
      </c>
      <c r="AZ60" s="8" t="str">
        <f>IF(OR(표1_3[[#This Row],[등급]]="명서",(표1_3[[#This Row],[등급]]="고급")),IF(AO60="","",AO60*$AR60),"")</f>
        <v/>
      </c>
      <c r="BA60" s="8" t="str">
        <f>IF(OR(표1_3[[#This Row],[등급]]="명서",(표1_3[[#This Row],[등급]]="고급")),IF(AP60="","",AP60*$AR60),"")</f>
        <v/>
      </c>
      <c r="BB60" s="8" t="str">
        <f>IF(OR(표1_3[[#This Row],[등급]]="명서",(표1_3[[#This Row],[등급]]="고급")),IF(AQ60="","",AQ60*$AR60),"")</f>
        <v/>
      </c>
    </row>
    <row r="61" spans="1:54" x14ac:dyDescent="0.3">
      <c r="A61" s="5" t="s">
        <v>83</v>
      </c>
      <c r="B61" s="6" t="s">
        <v>12</v>
      </c>
      <c r="C61" s="6" t="s">
        <v>788</v>
      </c>
      <c r="D61" s="105" t="s">
        <v>220</v>
      </c>
      <c r="E61" s="7">
        <f t="array" ref="E61">INDEX(표1[내 책 등급], MATCH(1, (표1[사용자] ='성장 시뮬레이터'!$B$1) * (표1[책이름] = D61), 0))</f>
        <v>7</v>
      </c>
      <c r="F61" s="106" t="s">
        <v>229</v>
      </c>
      <c r="G61" s="147">
        <v>179</v>
      </c>
      <c r="H61" s="106" t="str">
        <f>IF(ISNUMBER(SEARCH("여", F61)), IF('성장 시뮬레이터'!$C$9=2, "O", "X"), "O")</f>
        <v>O</v>
      </c>
      <c r="I61" s="106" t="str">
        <f>IF(OR(ISNUMBER(SEARCH("위나라", F61)), ISNUMBER(SEARCH("촉나라", F61)), ISNUMBER(SEARCH("오나라", F61)), ISNUMBER(SEARCH("군웅", F61))), IF(ISNUMBER(SEARCH('성장 시뮬레이터'!$C$10, F61)), "O", "X"), "O")</f>
        <v>O</v>
      </c>
      <c r="J61" s="8" t="str">
        <f>IF(
    AND(
        H61="O",
        I61="O",
        IF(ISNUMBER(SEARCH("무력+지력", F61)), ('성장 시뮬레이터'!$G$5+'성장 시뮬레이터'!$G$6) &gt;= G61,
           IF(ISNUMBER(SEARCH("무력", F61)), '성장 시뮬레이터'!$G$5 &gt;= G61,
           IF(ISNUMBER(SEARCH("지력", F61)), '성장 시뮬레이터'!$G$6 &gt;= G61,
           IF(ISNUMBER(SEARCH("내력", F61)), '성장 시뮬레이터'!$G$7 &gt;= G61,
           IF(ISNUMBER(SEARCH("체력", F61)), '성장 시뮬레이터'!$G$8 &gt;= G61, FALSE)))))
    ), "O", "X")</f>
        <v>O</v>
      </c>
      <c r="K61" s="106" t="str">
        <f>IF(
    AND(
        H61="O",
        I61="O",
        IF(ISNUMBER(SEARCH("무력+지력", F61)), ('성장 시뮬레이터'!$I$5+'성장 시뮬레이터'!$I$6) &gt;= G61,
           IF(ISNUMBER(SEARCH("무력", F61)), '성장 시뮬레이터'!$I$5 &gt;= G61,
           IF(ISNUMBER(SEARCH("지력", F61)), '성장 시뮬레이터'!$I$6 &gt;= G61,
           IF(ISNUMBER(SEARCH("내력", F61)), '성장 시뮬레이터'!$I$7 &gt;= G61,
           IF(ISNUMBER(SEARCH("체력", F61)), '성장 시뮬레이터'!$I$8 &gt;= G61, FALSE)))))
    ), "O", "X")</f>
        <v>O</v>
      </c>
      <c r="L61" s="106" t="str">
        <f>IF(
    AND(
        H61="O",
        I61="O",
        IF(ISNUMBER(SEARCH("무력+지력", F61)), ('성장 시뮬레이터'!$K$5+'성장 시뮬레이터'!$K$6) &gt;= G61,
           IF(ISNUMBER(SEARCH("무력", F61)), '성장 시뮬레이터'!$K$5 &gt;= G61,
           IF(ISNUMBER(SEARCH("지력", F61)), '성장 시뮬레이터'!$K$6 &gt;= G61,
           IF(ISNUMBER(SEARCH("내력", F61)), '성장 시뮬레이터'!$K$7 &gt;= G61,
           IF(ISNUMBER(SEARCH("체력", F61)), '성장 시뮬레이터'!$K$8 &gt;= G61, FALSE)))))
    ), "O", "X")</f>
        <v>O</v>
      </c>
      <c r="M61" s="106" t="str">
        <f>IF(
    AND(
        H61="O",
        I61="O",
        IF(ISNUMBER(SEARCH("무력+지력", F61)), ('성장 시뮬레이터'!$M$5+'성장 시뮬레이터'!$M$6) &gt;= G61,
           IF(ISNUMBER(SEARCH("무력", F61)), '성장 시뮬레이터'!$M$5 &gt;= G61,
           IF(ISNUMBER(SEARCH("지력", F61)), '성장 시뮬레이터'!$M$6 &gt;= G61,
           IF(ISNUMBER(SEARCH("내력", F61)), '성장 시뮬레이터'!$M$7 &gt;= G61,
           IF(ISNUMBER(SEARCH("체력", F61)), '성장 시뮬레이터'!$M$8 &gt;= G61, FALSE)))))
    ), "O", "X")</f>
        <v>O</v>
      </c>
      <c r="N61" s="106" t="str">
        <f>IF(
    AND(
        H61="O",
        I61="O",
        IF(ISNUMBER(SEARCH("무력+지력", F61)), ('성장 시뮬레이터'!$O$5+'성장 시뮬레이터'!$O$6) &gt;= G61,
           IF(ISNUMBER(SEARCH("무력", F61)), '성장 시뮬레이터'!$O$5 &gt;= G61,
           IF(ISNUMBER(SEARCH("지력", F61)), '성장 시뮬레이터'!$O$6 &gt;= G61,
           IF(ISNUMBER(SEARCH("내력", F61)), '성장 시뮬레이터'!$O$7 &gt;= G61,
           IF(ISNUMBER(SEARCH("체력", F61)), '성장 시뮬레이터'!$O$8 &gt;= G61, FALSE)))))
    ), "O", "X")</f>
        <v>O</v>
      </c>
      <c r="O61" s="106" t="str">
        <f>IF(
    AND(
        H61="O",
        I61="O",
        IF(ISNUMBER(SEARCH("무력+지력", F61)), ('성장 시뮬레이터'!$Q$5+'성장 시뮬레이터'!$Q$6) &gt;= G61,
           IF(ISNUMBER(SEARCH("무력", F61)), '성장 시뮬레이터'!$Q$5 &gt;= G61,
           IF(ISNUMBER(SEARCH("지력", F61)), '성장 시뮬레이터'!$Q$6 &gt;= G61,
           IF(ISNUMBER(SEARCH("내력", F61)), '성장 시뮬레이터'!$Q$7 &gt;= G61,
           IF(ISNUMBER(SEARCH("체력", F61)), '성장 시뮬레이터'!$Q$8 &gt;= G61, FALSE)))))
    ), "O", "X")</f>
        <v>O</v>
      </c>
      <c r="P61" s="106" t="s">
        <v>904</v>
      </c>
      <c r="Q61" s="142" t="str">
        <f t="shared" si="12"/>
        <v/>
      </c>
      <c r="R61" s="142">
        <f t="shared" si="13"/>
        <v>120</v>
      </c>
      <c r="S61" s="142" t="str">
        <f t="shared" si="14"/>
        <v/>
      </c>
      <c r="T61" s="142" t="str">
        <f t="shared" si="15"/>
        <v/>
      </c>
      <c r="U61" s="142" t="str">
        <f t="shared" si="16"/>
        <v/>
      </c>
      <c r="V61" s="142">
        <f t="shared" si="17"/>
        <v>60</v>
      </c>
      <c r="W61" s="142" t="str">
        <f t="shared" si="18"/>
        <v/>
      </c>
      <c r="X61" s="142" t="str">
        <f t="shared" si="19"/>
        <v/>
      </c>
      <c r="Y61" s="142" t="str">
        <f t="shared" si="20"/>
        <v/>
      </c>
      <c r="Z61" s="142" t="str">
        <f t="shared" si="21"/>
        <v/>
      </c>
      <c r="AA61" s="11" t="s">
        <v>230</v>
      </c>
      <c r="AB61" s="11"/>
      <c r="AC61" s="11"/>
      <c r="AD61" s="11"/>
      <c r="AE61" s="12"/>
      <c r="AF61" s="144" t="s">
        <v>231</v>
      </c>
      <c r="AH61" s="8"/>
      <c r="AI61" s="8">
        <v>40</v>
      </c>
      <c r="AJ61" s="8"/>
      <c r="AK61" s="8"/>
      <c r="AL61" s="8"/>
      <c r="AM61" s="8">
        <v>20</v>
      </c>
      <c r="AN61" s="8"/>
      <c r="AO61" s="8"/>
      <c r="AP61" s="8"/>
      <c r="AQ61" s="8"/>
      <c r="AR61" s="103">
        <v>1.5</v>
      </c>
      <c r="AS61" s="8" t="str">
        <f>IF(OR(표1_3[[#This Row],[등급]]="명서",(표1_3[[#This Row],[등급]]="고급")),IF(AH61="","",AH61*$AR61),"")</f>
        <v/>
      </c>
      <c r="AT61" s="8">
        <f>IF(OR(표1_3[[#This Row],[등급]]="명서",(표1_3[[#This Row],[등급]]="고급")),IF(AI61="","",AI61*$AR61),"")</f>
        <v>60</v>
      </c>
      <c r="AU61" s="8" t="str">
        <f>IF(OR(표1_3[[#This Row],[등급]]="명서",(표1_3[[#This Row],[등급]]="고급")),IF(AJ61="","",AJ61*$AR61),"")</f>
        <v/>
      </c>
      <c r="AV61" s="8" t="str">
        <f>IF(OR(표1_3[[#This Row],[등급]]="명서",(표1_3[[#This Row],[등급]]="고급")),IF(AK61="","",AK61*$AR61),"")</f>
        <v/>
      </c>
      <c r="AW61" s="8" t="str">
        <f>IF(OR(표1_3[[#This Row],[등급]]="명서",(표1_3[[#This Row],[등급]]="고급")),IF(AL61="","",AL61*$AR61),"")</f>
        <v/>
      </c>
      <c r="AX61" s="8">
        <f>IF(OR(표1_3[[#This Row],[등급]]="명서",(표1_3[[#This Row],[등급]]="고급")),IF(AM61="","",AM61*$AR61),"")</f>
        <v>30</v>
      </c>
      <c r="AY61" s="8" t="str">
        <f>IF(OR(표1_3[[#This Row],[등급]]="명서",(표1_3[[#This Row],[등급]]="고급")),IF(AN61="","",AN61*$AR61),"")</f>
        <v/>
      </c>
      <c r="AZ61" s="8" t="str">
        <f>IF(OR(표1_3[[#This Row],[등급]]="명서",(표1_3[[#This Row],[등급]]="고급")),IF(AO61="","",AO61*$AR61),"")</f>
        <v/>
      </c>
      <c r="BA61" s="8" t="str">
        <f>IF(OR(표1_3[[#This Row],[등급]]="명서",(표1_3[[#This Row],[등급]]="고급")),IF(AP61="","",AP61*$AR61),"")</f>
        <v/>
      </c>
      <c r="BB61" s="8" t="str">
        <f>IF(OR(표1_3[[#This Row],[등급]]="명서",(표1_3[[#This Row],[등급]]="고급")),IF(AQ61="","",AQ61*$AR61),"")</f>
        <v/>
      </c>
    </row>
    <row r="62" spans="1:54" x14ac:dyDescent="0.3">
      <c r="A62" s="5" t="s">
        <v>83</v>
      </c>
      <c r="B62" s="6" t="s">
        <v>12</v>
      </c>
      <c r="C62" s="6" t="s">
        <v>787</v>
      </c>
      <c r="D62" s="105" t="s">
        <v>773</v>
      </c>
      <c r="E62" s="7">
        <f t="array" ref="E62">INDEX(표1[내 책 등급], MATCH(1, (표1[사용자] ='성장 시뮬레이터'!$B$1) * (표1[책이름] = D62), 0))</f>
        <v>0</v>
      </c>
      <c r="F62" s="106" t="s">
        <v>203</v>
      </c>
      <c r="G62" s="147">
        <v>140</v>
      </c>
      <c r="H62" s="142" t="str">
        <f>IF(ISNUMBER(SEARCH("여", F62)), IF(서책입력!$D$118=2, "O", "X"), "O")</f>
        <v>O</v>
      </c>
      <c r="I62" s="142" t="str">
        <f>IF(OR(ISNUMBER(SEARCH("위나라", F62)), ISNUMBER(SEARCH("촉나라", F62)), ISNUMBER(SEARCH("오나라", F62)), ISNUMBER(SEARCH("군웅", F62))), IF(ISNUMBER(SEARCH(서책입력!$D$119, F62)), "O", "X"), "O")</f>
        <v>O</v>
      </c>
      <c r="J62" s="147" t="str">
        <f>IF(
    AND(
        H62="O",
        I62="O",
        IF(ISNUMBER(SEARCH("무력+지력", F62)), (서책입력!$G$114+서책입력!$G$115) &gt;= G62,
           IF(ISNUMBER(SEARCH("무력", F62)), 서책입력!$G$114 &gt;= G62,
           IF(ISNUMBER(SEARCH("지력", F62)), 서책입력!$G$115 &gt;= G62,
           IF(ISNUMBER(SEARCH("내력", F62)), 서책입력!$G$116 &gt;= G62,
           IF(ISNUMBER(SEARCH("체력", F62)), 서책입력!$G$117 &gt;= G62, FALSE)))))
    ), "O", "X")</f>
        <v>X</v>
      </c>
      <c r="K62" s="142" t="str">
        <f>IF(
    AND(
        H62="O",
        I62="O",
        IF(ISNUMBER(SEARCH("무력+지력", F62)), (서책입력!$I$114+서책입력!$I$115) &gt;= G62,
           IF(ISNUMBER(SEARCH("무력", F62)), 서책입력!$I$114 &gt;= G62,
           IF(ISNUMBER(SEARCH("지력", F62)), 서책입력!$I$115 &gt;= G62,
           IF(ISNUMBER(SEARCH("내력", F62)), 서책입력!$I$116 &gt;= G62,
           IF(ISNUMBER(SEARCH("체력", F62)), 서책입력!$I$117 &gt;= G62, FALSE)))))
    ), "O", "X")</f>
        <v>X</v>
      </c>
      <c r="L62" s="147" t="str">
        <f>IF(
    AND(
        H62="O",
        I62="O",
        IF(ISNUMBER(SEARCH("무력+지력", F62)), (서책입력!$K$114+서책입력!$K$115) &gt;= G62,
           IF(ISNUMBER(SEARCH("무력", F62)), 서책입력!$K$114 &gt;= G62,
           IF(ISNUMBER(SEARCH("지력", F62)), 서책입력!$K$115 &gt;= G62,
           IF(ISNUMBER(SEARCH("내력", F62)), 서책입력!$K$116 &gt;= G62,
           IF(ISNUMBER(SEARCH("체력", F62)), 서책입력!$K$117 &gt;= G62, FALSE)))))
    ), "O", "X")</f>
        <v>X</v>
      </c>
      <c r="M62" s="147" t="str">
        <f>IF(
    AND(
        H62="O",
        I62="O",
        IF(ISNUMBER(SEARCH("무력+지력", F62)), (서책입력!$M$114+서책입력!$M$115) &gt;= G62,
           IF(ISNUMBER(SEARCH("무력", F62)), 서책입력!$M$114 &gt;= G62,
           IF(ISNUMBER(SEARCH("지력", F62)), 서책입력!$M$115 &gt;= G62,
           IF(ISNUMBER(SEARCH("내력", F62)), 서책입력!$M$116 &gt;= G62,
           IF(ISNUMBER(SEARCH("체력", F62)), 서책입력!$M$117 &gt;= G62, FALSE)))))
    ), "O", "X")</f>
        <v>X</v>
      </c>
      <c r="N62" s="147" t="str">
        <f>IF(
    AND(
        H62="O",
        I62="O",
        IF(ISNUMBER(SEARCH("무력+지력", F62)), (서책입력!$O$114+서책입력!$O$115) &gt;= G62,
           IF(ISNUMBER(SEARCH("무력", F62)), 서책입력!$O$114 &gt;= G62,
           IF(ISNUMBER(SEARCH("지력", F62)), 서책입력!$O$115 &gt;= G62,
           IF(ISNUMBER(SEARCH("내력", F62)), 서책입력!$O$116 &gt;= G62,
           IF(ISNUMBER(SEARCH("체력", F62)), 서책입력!$O$117 &gt;= G62, FALSE)))))
    ), "O", "X")</f>
        <v>X</v>
      </c>
      <c r="O62" s="147" t="str">
        <f>IF(
    AND(
        H62="O",
        I62="O",
        IF(ISNUMBER(SEARCH("무력+지력", F62)), (서책입력!$R$114+서책입력!$R$115) &gt;= G62,
           IF(ISNUMBER(SEARCH("무력", F62)), 서책입력!$R$114 &gt;= G62,
           IF(ISNUMBER(SEARCH("지력", F62)), 서책입력!$R$115 &gt;= G62,
           IF(ISNUMBER(SEARCH("내력", F62)), 서책입력!$R$116 &gt;= G62,
           IF(ISNUMBER(SEARCH("체력", F62)), 서책입력!$R$117 &gt;= G62, FALSE)))))
    ), "O", "X")</f>
        <v>X</v>
      </c>
      <c r="P62" s="147" t="s">
        <v>905</v>
      </c>
      <c r="Q62" s="147" t="str">
        <f t="shared" ref="Q62:Z65" si="23">IF(OR($E62=0, AH62=""), "", CHOOSE(IF($E62=10, 1, IF($E62=4, 2, 3)), AS62+AH62*5, AH62, ($E62-4)*AH62))</f>
        <v/>
      </c>
      <c r="R62" s="147" t="str">
        <f t="shared" si="23"/>
        <v/>
      </c>
      <c r="S62" s="147" t="str">
        <f t="shared" si="23"/>
        <v/>
      </c>
      <c r="T62" s="147" t="str">
        <f t="shared" si="23"/>
        <v/>
      </c>
      <c r="U62" s="147" t="str">
        <f t="shared" si="23"/>
        <v/>
      </c>
      <c r="V62" s="147" t="str">
        <f t="shared" si="23"/>
        <v/>
      </c>
      <c r="W62" s="147" t="str">
        <f t="shared" si="23"/>
        <v/>
      </c>
      <c r="X62" s="147" t="str">
        <f t="shared" si="23"/>
        <v/>
      </c>
      <c r="Y62" s="147" t="str">
        <f t="shared" si="23"/>
        <v/>
      </c>
      <c r="Z62" s="147" t="str">
        <f t="shared" si="23"/>
        <v/>
      </c>
      <c r="AA62" s="107" t="s">
        <v>793</v>
      </c>
      <c r="AB62" s="107"/>
      <c r="AC62" s="107"/>
      <c r="AD62" s="107"/>
      <c r="AE62" s="107"/>
      <c r="AF62" s="146" t="s">
        <v>794</v>
      </c>
      <c r="AH62" s="8"/>
      <c r="AI62" s="8">
        <v>40</v>
      </c>
      <c r="AJ62" s="8">
        <v>30</v>
      </c>
      <c r="AK62" s="8"/>
      <c r="AL62" s="8"/>
      <c r="AM62" s="8"/>
      <c r="AN62" s="8"/>
      <c r="AO62" s="8"/>
      <c r="AP62" s="8"/>
      <c r="AQ62" s="8"/>
      <c r="AR62" s="103">
        <v>1.5</v>
      </c>
      <c r="AS62" s="8" t="str">
        <f>IF(OR(표1_3[[#This Row],[등급]]="명서",(표1_3[[#This Row],[등급]]="고급")),IF(AH62="","",AH62*$AR62),"")</f>
        <v/>
      </c>
      <c r="AT62" s="8">
        <f>IF(OR(표1_3[[#This Row],[등급]]="명서",(표1_3[[#This Row],[등급]]="고급")),IF(AI62="","",AI62*$AR62),"")</f>
        <v>60</v>
      </c>
      <c r="AU62" s="8">
        <f>IF(OR(표1_3[[#This Row],[등급]]="명서",(표1_3[[#This Row],[등급]]="고급")),IF(AJ62="","",AJ62*$AR62),"")</f>
        <v>45</v>
      </c>
      <c r="AV62" s="8" t="str">
        <f>IF(OR(표1_3[[#This Row],[등급]]="명서",(표1_3[[#This Row],[등급]]="고급")),IF(AK62="","",AK62*$AR62),"")</f>
        <v/>
      </c>
      <c r="AW62" s="8" t="str">
        <f>IF(OR(표1_3[[#This Row],[등급]]="명서",(표1_3[[#This Row],[등급]]="고급")),IF(AL62="","",AL62*$AR62),"")</f>
        <v/>
      </c>
      <c r="AX62" s="8" t="str">
        <f>IF(OR(표1_3[[#This Row],[등급]]="명서",(표1_3[[#This Row],[등급]]="고급")),IF(AM62="","",AM62*$AR62),"")</f>
        <v/>
      </c>
      <c r="AY62" s="8" t="str">
        <f>IF(OR(표1_3[[#This Row],[등급]]="명서",(표1_3[[#This Row],[등급]]="고급")),IF(AN62="","",AN62*$AR62),"")</f>
        <v/>
      </c>
      <c r="AZ62" s="8" t="str">
        <f>IF(OR(표1_3[[#This Row],[등급]]="명서",(표1_3[[#This Row],[등급]]="고급")),IF(AO62="","",AO62*$AR62),"")</f>
        <v/>
      </c>
      <c r="BA62" s="8" t="str">
        <f>IF(OR(표1_3[[#This Row],[등급]]="명서",(표1_3[[#This Row],[등급]]="고급")),IF(AP62="","",AP62*$AR62),"")</f>
        <v/>
      </c>
      <c r="BB62" s="8" t="str">
        <f>IF(OR(표1_3[[#This Row],[등급]]="명서",(표1_3[[#This Row],[등급]]="고급")),IF(AQ62="","",AQ62*$AR62),"")</f>
        <v/>
      </c>
    </row>
    <row r="63" spans="1:54" x14ac:dyDescent="0.3">
      <c r="A63" s="5" t="s">
        <v>83</v>
      </c>
      <c r="B63" s="6" t="s">
        <v>12</v>
      </c>
      <c r="C63" s="6" t="s">
        <v>787</v>
      </c>
      <c r="D63" s="105" t="s">
        <v>774</v>
      </c>
      <c r="E63" s="7">
        <f t="array" ref="E63">INDEX(표1[내 책 등급], MATCH(1, (표1[사용자] ='성장 시뮬레이터'!$B$1) * (표1[책이름] = D63), 0))</f>
        <v>9</v>
      </c>
      <c r="F63" s="106" t="s">
        <v>173</v>
      </c>
      <c r="G63" s="147">
        <v>100</v>
      </c>
      <c r="H63" s="142" t="str">
        <f>IF(ISNUMBER(SEARCH("여", F63)), IF(서책입력!$D$118=2, "O", "X"), "O")</f>
        <v>O</v>
      </c>
      <c r="I63" s="142" t="str">
        <f>IF(OR(ISNUMBER(SEARCH("위나라", F63)), ISNUMBER(SEARCH("촉나라", F63)), ISNUMBER(SEARCH("오나라", F63)), ISNUMBER(SEARCH("군웅", F63))), IF(ISNUMBER(SEARCH(서책입력!$D$119, F63)), "O", "X"), "O")</f>
        <v>O</v>
      </c>
      <c r="J63" s="147" t="str">
        <f>IF(
    AND(
        H63="O",
        I63="O",
        IF(ISNUMBER(SEARCH("무력+지력", F63)), (서책입력!$G$114+서책입력!$G$115) &gt;= G63,
           IF(ISNUMBER(SEARCH("무력", F63)), 서책입력!$G$114 &gt;= G63,
           IF(ISNUMBER(SEARCH("지력", F63)), 서책입력!$G$115 &gt;= G63,
           IF(ISNUMBER(SEARCH("내력", F63)), 서책입력!$G$116 &gt;= G63,
           IF(ISNUMBER(SEARCH("체력", F63)), 서책입력!$G$117 &gt;= G63, FALSE)))))
    ), "O", "X")</f>
        <v>X</v>
      </c>
      <c r="K63" s="142" t="str">
        <f>IF(
    AND(
        H63="O",
        I63="O",
        IF(ISNUMBER(SEARCH("무력+지력", F63)), (서책입력!$I$114+서책입력!$I$115) &gt;= G63,
           IF(ISNUMBER(SEARCH("무력", F63)), 서책입력!$I$114 &gt;= G63,
           IF(ISNUMBER(SEARCH("지력", F63)), 서책입력!$I$115 &gt;= G63,
           IF(ISNUMBER(SEARCH("내력", F63)), 서책입력!$I$116 &gt;= G63,
           IF(ISNUMBER(SEARCH("체력", F63)), 서책입력!$I$117 &gt;= G63, FALSE)))))
    ), "O", "X")</f>
        <v>X</v>
      </c>
      <c r="L63" s="147" t="str">
        <f>IF(
    AND(
        H63="O",
        I63="O",
        IF(ISNUMBER(SEARCH("무력+지력", F63)), (서책입력!$K$114+서책입력!$K$115) &gt;= G63,
           IF(ISNUMBER(SEARCH("무력", F63)), 서책입력!$K$114 &gt;= G63,
           IF(ISNUMBER(SEARCH("지력", F63)), 서책입력!$K$115 &gt;= G63,
           IF(ISNUMBER(SEARCH("내력", F63)), 서책입력!$K$116 &gt;= G63,
           IF(ISNUMBER(SEARCH("체력", F63)), 서책입력!$K$117 &gt;= G63, FALSE)))))
    ), "O", "X")</f>
        <v>X</v>
      </c>
      <c r="M63" s="147" t="str">
        <f>IF(
    AND(
        H63="O",
        I63="O",
        IF(ISNUMBER(SEARCH("무력+지력", F63)), (서책입력!$M$114+서책입력!$M$115) &gt;= G63,
           IF(ISNUMBER(SEARCH("무력", F63)), 서책입력!$M$114 &gt;= G63,
           IF(ISNUMBER(SEARCH("지력", F63)), 서책입력!$M$115 &gt;= G63,
           IF(ISNUMBER(SEARCH("내력", F63)), 서책입력!$M$116 &gt;= G63,
           IF(ISNUMBER(SEARCH("체력", F63)), 서책입력!$M$117 &gt;= G63, FALSE)))))
    ), "O", "X")</f>
        <v>X</v>
      </c>
      <c r="N63" s="147" t="str">
        <f>IF(
    AND(
        H63="O",
        I63="O",
        IF(ISNUMBER(SEARCH("무력+지력", F63)), (서책입력!$O$114+서책입력!$O$115) &gt;= G63,
           IF(ISNUMBER(SEARCH("무력", F63)), 서책입력!$O$114 &gt;= G63,
           IF(ISNUMBER(SEARCH("지력", F63)), 서책입력!$O$115 &gt;= G63,
           IF(ISNUMBER(SEARCH("내력", F63)), 서책입력!$O$116 &gt;= G63,
           IF(ISNUMBER(SEARCH("체력", F63)), 서책입력!$O$117 &gt;= G63, FALSE)))))
    ), "O", "X")</f>
        <v>X</v>
      </c>
      <c r="O63" s="147" t="str">
        <f>IF(
    AND(
        H63="O",
        I63="O",
        IF(ISNUMBER(SEARCH("무력+지력", F63)), (서책입력!$R$114+서책입력!$R$115) &gt;= G63,
           IF(ISNUMBER(SEARCH("무력", F63)), 서책입력!$R$114 &gt;= G63,
           IF(ISNUMBER(SEARCH("지력", F63)), 서책입력!$R$115 &gt;= G63,
           IF(ISNUMBER(SEARCH("내력", F63)), 서책입력!$R$116 &gt;= G63,
           IF(ISNUMBER(SEARCH("체력", F63)), 서책입력!$R$117 &gt;= G63, FALSE)))))
    ), "O", "X")</f>
        <v>X</v>
      </c>
      <c r="P63" s="147" t="s">
        <v>905</v>
      </c>
      <c r="Q63" s="147">
        <f t="shared" si="23"/>
        <v>200</v>
      </c>
      <c r="R63" s="147" t="str">
        <f t="shared" si="23"/>
        <v/>
      </c>
      <c r="S63" s="147" t="str">
        <f t="shared" si="23"/>
        <v/>
      </c>
      <c r="T63" s="147" t="str">
        <f t="shared" si="23"/>
        <v/>
      </c>
      <c r="U63" s="147" t="str">
        <f t="shared" si="23"/>
        <v/>
      </c>
      <c r="V63" s="147">
        <f t="shared" si="23"/>
        <v>100</v>
      </c>
      <c r="W63" s="147" t="str">
        <f t="shared" si="23"/>
        <v/>
      </c>
      <c r="X63" s="147" t="str">
        <f t="shared" si="23"/>
        <v/>
      </c>
      <c r="Y63" s="147" t="str">
        <f t="shared" si="23"/>
        <v/>
      </c>
      <c r="Z63" s="147" t="str">
        <f t="shared" si="23"/>
        <v/>
      </c>
      <c r="AA63" s="107" t="s">
        <v>239</v>
      </c>
      <c r="AB63" s="107"/>
      <c r="AC63" s="107"/>
      <c r="AD63" s="107"/>
      <c r="AE63" s="107"/>
      <c r="AF63" s="146" t="s">
        <v>240</v>
      </c>
      <c r="AH63" s="8">
        <v>40</v>
      </c>
      <c r="AI63" s="8"/>
      <c r="AJ63" s="8"/>
      <c r="AK63" s="8"/>
      <c r="AL63" s="8"/>
      <c r="AM63" s="8">
        <v>20</v>
      </c>
      <c r="AN63" s="8"/>
      <c r="AO63" s="8"/>
      <c r="AP63" s="8"/>
      <c r="AQ63" s="8"/>
      <c r="AR63" s="103">
        <v>1.5</v>
      </c>
      <c r="AS63" s="8">
        <f>IF(OR(표1_3[[#This Row],[등급]]="명서",(표1_3[[#This Row],[등급]]="고급")),IF(AH63="","",AH63*$AR63),"")</f>
        <v>60</v>
      </c>
      <c r="AT63" s="8" t="str">
        <f>IF(OR(표1_3[[#This Row],[등급]]="명서",(표1_3[[#This Row],[등급]]="고급")),IF(AI63="","",AI63*$AR63),"")</f>
        <v/>
      </c>
      <c r="AU63" s="8" t="str">
        <f>IF(OR(표1_3[[#This Row],[등급]]="명서",(표1_3[[#This Row],[등급]]="고급")),IF(AJ63="","",AJ63*$AR63),"")</f>
        <v/>
      </c>
      <c r="AV63" s="8" t="str">
        <f>IF(OR(표1_3[[#This Row],[등급]]="명서",(표1_3[[#This Row],[등급]]="고급")),IF(AK63="","",AK63*$AR63),"")</f>
        <v/>
      </c>
      <c r="AW63" s="8" t="str">
        <f>IF(OR(표1_3[[#This Row],[등급]]="명서",(표1_3[[#This Row],[등급]]="고급")),IF(AL63="","",AL63*$AR63),"")</f>
        <v/>
      </c>
      <c r="AX63" s="8">
        <f>IF(OR(표1_3[[#This Row],[등급]]="명서",(표1_3[[#This Row],[등급]]="고급")),IF(AM63="","",AM63*$AR63),"")</f>
        <v>30</v>
      </c>
      <c r="AY63" s="8" t="str">
        <f>IF(OR(표1_3[[#This Row],[등급]]="명서",(표1_3[[#This Row],[등급]]="고급")),IF(AN63="","",AN63*$AR63),"")</f>
        <v/>
      </c>
      <c r="AZ63" s="8" t="str">
        <f>IF(OR(표1_3[[#This Row],[등급]]="명서",(표1_3[[#This Row],[등급]]="고급")),IF(AO63="","",AO63*$AR63),"")</f>
        <v/>
      </c>
      <c r="BA63" s="8" t="str">
        <f>IF(OR(표1_3[[#This Row],[등급]]="명서",(표1_3[[#This Row],[등급]]="고급")),IF(AP63="","",AP63*$AR63),"")</f>
        <v/>
      </c>
      <c r="BB63" s="8" t="str">
        <f>IF(OR(표1_3[[#This Row],[등급]]="명서",(표1_3[[#This Row],[등급]]="고급")),IF(AQ63="","",AQ63*$AR63),"")</f>
        <v/>
      </c>
    </row>
    <row r="64" spans="1:54" x14ac:dyDescent="0.3">
      <c r="A64" s="5" t="s">
        <v>83</v>
      </c>
      <c r="B64" s="6" t="s">
        <v>12</v>
      </c>
      <c r="C64" s="6" t="s">
        <v>786</v>
      </c>
      <c r="D64" s="105" t="s">
        <v>781</v>
      </c>
      <c r="E64" s="7">
        <f t="array" ref="E64">INDEX(표1[내 책 등급], MATCH(1, (표1[사용자] ='성장 시뮬레이터'!$B$1) * (표1[책이름] = D64), 0))</f>
        <v>0</v>
      </c>
      <c r="F64" s="106" t="s">
        <v>188</v>
      </c>
      <c r="G64" s="106">
        <v>95</v>
      </c>
      <c r="H64" s="8" t="str">
        <f>IF(ISNUMBER(SEARCH("여", F64)), IF(서책입력!$D$118=2, "O", "X"), "O")</f>
        <v>O</v>
      </c>
      <c r="I64" s="8" t="str">
        <f>IF(OR(ISNUMBER(SEARCH("위나라", F64)), ISNUMBER(SEARCH("촉나라", F64)), ISNUMBER(SEARCH("오나라", F64)), ISNUMBER(SEARCH("군웅", F64))), IF(ISNUMBER(SEARCH(서책입력!$D$119, F64)), "O", "X"), "O")</f>
        <v>O</v>
      </c>
      <c r="J64" s="106" t="str">
        <f>IF(
    AND(
        H64="O",
        I64="O",
        IF(ISNUMBER(SEARCH("무력+지력", F64)), (서책입력!$G$114+서책입력!$G$115) &gt;= G64,
           IF(ISNUMBER(SEARCH("무력", F64)), 서책입력!$G$114 &gt;= G64,
           IF(ISNUMBER(SEARCH("지력", F64)), 서책입력!$G$115 &gt;= G64,
           IF(ISNUMBER(SEARCH("내력", F64)), 서책입력!$G$116 &gt;= G64,
           IF(ISNUMBER(SEARCH("체력", F64)), 서책입력!$G$117 &gt;= G64, FALSE)))))
    ), "O", "X")</f>
        <v>X</v>
      </c>
      <c r="K64" s="8" t="str">
        <f>IF(
    AND(
        H64="O",
        I64="O",
        IF(ISNUMBER(SEARCH("무력+지력", F64)), (서책입력!$I$114+서책입력!$I$115) &gt;= G64,
           IF(ISNUMBER(SEARCH("무력", F64)), 서책입력!$I$114 &gt;= G64,
           IF(ISNUMBER(SEARCH("지력", F64)), 서책입력!$I$115 &gt;= G64,
           IF(ISNUMBER(SEARCH("내력", F64)), 서책입력!$I$116 &gt;= G64,
           IF(ISNUMBER(SEARCH("체력", F64)), 서책입력!$I$117 &gt;= G64, FALSE)))))
    ), "O", "X")</f>
        <v>X</v>
      </c>
      <c r="L64" s="106" t="str">
        <f>IF(
    AND(
        H64="O",
        I64="O",
        IF(ISNUMBER(SEARCH("무력+지력", F64)), (서책입력!$K$114+서책입력!$K$115) &gt;= G64,
           IF(ISNUMBER(SEARCH("무력", F64)), 서책입력!$K$114 &gt;= G64,
           IF(ISNUMBER(SEARCH("지력", F64)), 서책입력!$K$115 &gt;= G64,
           IF(ISNUMBER(SEARCH("내력", F64)), 서책입력!$K$116 &gt;= G64,
           IF(ISNUMBER(SEARCH("체력", F64)), 서책입력!$K$117 &gt;= G64, FALSE)))))
    ), "O", "X")</f>
        <v>X</v>
      </c>
      <c r="M64" s="106" t="str">
        <f>IF(
    AND(
        H64="O",
        I64="O",
        IF(ISNUMBER(SEARCH("무력+지력", F64)), (서책입력!$M$114+서책입력!$M$115) &gt;= G64,
           IF(ISNUMBER(SEARCH("무력", F64)), 서책입력!$M$114 &gt;= G64,
           IF(ISNUMBER(SEARCH("지력", F64)), 서책입력!$M$115 &gt;= G64,
           IF(ISNUMBER(SEARCH("내력", F64)), 서책입력!$M$116 &gt;= G64,
           IF(ISNUMBER(SEARCH("체력", F64)), 서책입력!$M$117 &gt;= G64, FALSE)))))
    ), "O", "X")</f>
        <v>X</v>
      </c>
      <c r="N64" s="106" t="str">
        <f>IF(
    AND(
        H64="O",
        I64="O",
        IF(ISNUMBER(SEARCH("무력+지력", F64)), (서책입력!$O$114+서책입력!$O$115) &gt;= G64,
           IF(ISNUMBER(SEARCH("무력", F64)), 서책입력!$O$114 &gt;= G64,
           IF(ISNUMBER(SEARCH("지력", F64)), 서책입력!$O$115 &gt;= G64,
           IF(ISNUMBER(SEARCH("내력", F64)), 서책입력!$O$116 &gt;= G64,
           IF(ISNUMBER(SEARCH("체력", F64)), 서책입력!$O$117 &gt;= G64, FALSE)))))
    ), "O", "X")</f>
        <v>X</v>
      </c>
      <c r="O64" s="106" t="str">
        <f>IF(
    AND(
        H64="O",
        I64="O",
        IF(ISNUMBER(SEARCH("무력+지력", F64)), (서책입력!$R$114+서책입력!$R$115) &gt;= G64,
           IF(ISNUMBER(SEARCH("무력", F64)), 서책입력!$R$114 &gt;= G64,
           IF(ISNUMBER(SEARCH("지력", F64)), 서책입력!$R$115 &gt;= G64,
           IF(ISNUMBER(SEARCH("내력", F64)), 서책입력!$R$116 &gt;= G64,
           IF(ISNUMBER(SEARCH("체력", F64)), 서책입력!$R$117 &gt;= G64, FALSE)))))
    ), "O", "X")</f>
        <v>X</v>
      </c>
      <c r="P64" s="106" t="s">
        <v>905</v>
      </c>
      <c r="Q64" s="106" t="str">
        <f t="shared" si="23"/>
        <v/>
      </c>
      <c r="R64" s="106" t="str">
        <f t="shared" si="23"/>
        <v/>
      </c>
      <c r="S64" s="106" t="str">
        <f t="shared" si="23"/>
        <v/>
      </c>
      <c r="T64" s="106" t="str">
        <f t="shared" si="23"/>
        <v/>
      </c>
      <c r="U64" s="106" t="str">
        <f t="shared" si="23"/>
        <v/>
      </c>
      <c r="V64" s="106" t="str">
        <f t="shared" si="23"/>
        <v/>
      </c>
      <c r="W64" s="106" t="str">
        <f t="shared" si="23"/>
        <v/>
      </c>
      <c r="X64" s="106" t="str">
        <f t="shared" si="23"/>
        <v/>
      </c>
      <c r="Y64" s="106" t="str">
        <f t="shared" si="23"/>
        <v/>
      </c>
      <c r="Z64" s="106" t="str">
        <f t="shared" si="23"/>
        <v/>
      </c>
      <c r="AA64" s="107" t="s">
        <v>239</v>
      </c>
      <c r="AB64" s="107"/>
      <c r="AC64" s="107"/>
      <c r="AD64" s="107"/>
      <c r="AE64" s="107"/>
      <c r="AF64" s="146" t="s">
        <v>240</v>
      </c>
      <c r="AH64" s="8">
        <v>40</v>
      </c>
      <c r="AI64" s="8"/>
      <c r="AJ64" s="8"/>
      <c r="AK64" s="8"/>
      <c r="AL64" s="8"/>
      <c r="AM64" s="8">
        <v>20</v>
      </c>
      <c r="AN64" s="8"/>
      <c r="AO64" s="8"/>
      <c r="AP64" s="8"/>
      <c r="AQ64" s="8"/>
      <c r="AR64" s="103">
        <v>1.5</v>
      </c>
      <c r="AS64" s="8">
        <f>IF(OR(표1_3[[#This Row],[등급]]="명서",(표1_3[[#This Row],[등급]]="고급")),IF(AH64="","",AH64*$AR64),"")</f>
        <v>60</v>
      </c>
      <c r="AT64" s="8" t="str">
        <f>IF(OR(표1_3[[#This Row],[등급]]="명서",(표1_3[[#This Row],[등급]]="고급")),IF(AI64="","",AI64*$AR64),"")</f>
        <v/>
      </c>
      <c r="AU64" s="8" t="str">
        <f>IF(OR(표1_3[[#This Row],[등급]]="명서",(표1_3[[#This Row],[등급]]="고급")),IF(AJ64="","",AJ64*$AR64),"")</f>
        <v/>
      </c>
      <c r="AV64" s="8" t="str">
        <f>IF(OR(표1_3[[#This Row],[등급]]="명서",(표1_3[[#This Row],[등급]]="고급")),IF(AK64="","",AK64*$AR64),"")</f>
        <v/>
      </c>
      <c r="AW64" s="8" t="str">
        <f>IF(OR(표1_3[[#This Row],[등급]]="명서",(표1_3[[#This Row],[등급]]="고급")),IF(AL64="","",AL64*$AR64),"")</f>
        <v/>
      </c>
      <c r="AX64" s="8">
        <f>IF(OR(표1_3[[#This Row],[등급]]="명서",(표1_3[[#This Row],[등급]]="고급")),IF(AM64="","",AM64*$AR64),"")</f>
        <v>30</v>
      </c>
      <c r="AY64" s="8" t="str">
        <f>IF(OR(표1_3[[#This Row],[등급]]="명서",(표1_3[[#This Row],[등급]]="고급")),IF(AN64="","",AN64*$AR64),"")</f>
        <v/>
      </c>
      <c r="AZ64" s="8" t="str">
        <f>IF(OR(표1_3[[#This Row],[등급]]="명서",(표1_3[[#This Row],[등급]]="고급")),IF(AO64="","",AO64*$AR64),"")</f>
        <v/>
      </c>
      <c r="BA64" s="8" t="str">
        <f>IF(OR(표1_3[[#This Row],[등급]]="명서",(표1_3[[#This Row],[등급]]="고급")),IF(AP64="","",AP64*$AR64),"")</f>
        <v/>
      </c>
      <c r="BB64" s="8" t="str">
        <f>IF(OR(표1_3[[#This Row],[등급]]="명서",(표1_3[[#This Row],[등급]]="고급")),IF(AQ64="","",AQ64*$AR64),"")</f>
        <v/>
      </c>
    </row>
    <row r="65" spans="1:54" x14ac:dyDescent="0.3">
      <c r="A65" s="5" t="s">
        <v>83</v>
      </c>
      <c r="B65" s="6" t="s">
        <v>12</v>
      </c>
      <c r="C65" s="6" t="s">
        <v>786</v>
      </c>
      <c r="D65" s="105" t="s">
        <v>782</v>
      </c>
      <c r="E65" s="7">
        <f t="array" ref="E65">INDEX(표1[내 책 등급], MATCH(1, (표1[사용자] ='성장 시뮬레이터'!$B$1) * (표1[책이름] = D65), 0))</f>
        <v>8</v>
      </c>
      <c r="F65" s="106" t="s">
        <v>926</v>
      </c>
      <c r="G65" s="106">
        <v>105</v>
      </c>
      <c r="H65" s="8" t="str">
        <f>IF(ISNUMBER(SEARCH("여", F65)), IF(서책입력!$D$118=2, "O", "X"), "O")</f>
        <v>O</v>
      </c>
      <c r="I65" s="8" t="str">
        <f>IF(OR(ISNUMBER(SEARCH("위나라", F65)), ISNUMBER(SEARCH("촉나라", F65)), ISNUMBER(SEARCH("오나라", F65)), ISNUMBER(SEARCH("군웅", F65))), IF(ISNUMBER(SEARCH(서책입력!$D$119, F65)), "O", "X"), "O")</f>
        <v>O</v>
      </c>
      <c r="J65" s="106" t="str">
        <f>IF(
    AND(
        H65="O",
        I65="O",
        IF(ISNUMBER(SEARCH("무력+지력", F65)), (서책입력!$G$114+서책입력!$G$115) &gt;= G65,
           IF(ISNUMBER(SEARCH("무력", F65)), 서책입력!$G$114 &gt;= G65,
           IF(ISNUMBER(SEARCH("지력", F65)), 서책입력!$G$115 &gt;= G65,
           IF(ISNUMBER(SEARCH("내력", F65)), 서책입력!$G$116 &gt;= G65,
           IF(ISNUMBER(SEARCH("체력", F65)), 서책입력!$G$117 &gt;= G65, FALSE)))))
    ), "O", "X")</f>
        <v>X</v>
      </c>
      <c r="K65" s="8" t="str">
        <f>IF(
    AND(
        H65="O",
        I65="O",
        IF(ISNUMBER(SEARCH("무력+지력", F65)), (서책입력!$I$114+서책입력!$I$115) &gt;= G65,
           IF(ISNUMBER(SEARCH("무력", F65)), 서책입력!$I$114 &gt;= G65,
           IF(ISNUMBER(SEARCH("지력", F65)), 서책입력!$I$115 &gt;= G65,
           IF(ISNUMBER(SEARCH("내력", F65)), 서책입력!$I$116 &gt;= G65,
           IF(ISNUMBER(SEARCH("체력", F65)), 서책입력!$I$117 &gt;= G65, FALSE)))))
    ), "O", "X")</f>
        <v>X</v>
      </c>
      <c r="L65" s="106" t="str">
        <f>IF(
    AND(
        H65="O",
        I65="O",
        IF(ISNUMBER(SEARCH("무력+지력", F65)), (서책입력!$K$114+서책입력!$K$115) &gt;= G65,
           IF(ISNUMBER(SEARCH("무력", F65)), 서책입력!$K$114 &gt;= G65,
           IF(ISNUMBER(SEARCH("지력", F65)), 서책입력!$K$115 &gt;= G65,
           IF(ISNUMBER(SEARCH("내력", F65)), 서책입력!$K$116 &gt;= G65,
           IF(ISNUMBER(SEARCH("체력", F65)), 서책입력!$K$117 &gt;= G65, FALSE)))))
    ), "O", "X")</f>
        <v>X</v>
      </c>
      <c r="M65" s="106" t="str">
        <f>IF(
    AND(
        H65="O",
        I65="O",
        IF(ISNUMBER(SEARCH("무력+지력", F65)), (서책입력!$M$114+서책입력!$M$115) &gt;= G65,
           IF(ISNUMBER(SEARCH("무력", F65)), 서책입력!$M$114 &gt;= G65,
           IF(ISNUMBER(SEARCH("지력", F65)), 서책입력!$M$115 &gt;= G65,
           IF(ISNUMBER(SEARCH("내력", F65)), 서책입력!$M$116 &gt;= G65,
           IF(ISNUMBER(SEARCH("체력", F65)), 서책입력!$M$117 &gt;= G65, FALSE)))))
    ), "O", "X")</f>
        <v>X</v>
      </c>
      <c r="N65" s="106" t="str">
        <f>IF(
    AND(
        H65="O",
        I65="O",
        IF(ISNUMBER(SEARCH("무력+지력", F65)), (서책입력!$O$114+서책입력!$O$115) &gt;= G65,
           IF(ISNUMBER(SEARCH("무력", F65)), 서책입력!$O$114 &gt;= G65,
           IF(ISNUMBER(SEARCH("지력", F65)), 서책입력!$O$115 &gt;= G65,
           IF(ISNUMBER(SEARCH("내력", F65)), 서책입력!$O$116 &gt;= G65,
           IF(ISNUMBER(SEARCH("체력", F65)), 서책입력!$O$117 &gt;= G65, FALSE)))))
    ), "O", "X")</f>
        <v>X</v>
      </c>
      <c r="O65" s="106" t="str">
        <f>IF(
    AND(
        H65="O",
        I65="O",
        IF(ISNUMBER(SEARCH("무력+지력", F65)), (서책입력!$R$114+서책입력!$R$115) &gt;= G65,
           IF(ISNUMBER(SEARCH("무력", F65)), 서책입력!$R$114 &gt;= G65,
           IF(ISNUMBER(SEARCH("지력", F65)), 서책입력!$R$115 &gt;= G65,
           IF(ISNUMBER(SEARCH("내력", F65)), 서책입력!$R$116 &gt;= G65,
           IF(ISNUMBER(SEARCH("체력", F65)), 서책입력!$R$117 &gt;= G65, FALSE)))))
    ), "O", "X")</f>
        <v>X</v>
      </c>
      <c r="P65" s="106" t="s">
        <v>905</v>
      </c>
      <c r="Q65" s="106" t="str">
        <f t="shared" si="23"/>
        <v/>
      </c>
      <c r="R65" s="106" t="str">
        <f t="shared" si="23"/>
        <v/>
      </c>
      <c r="S65" s="106">
        <f t="shared" si="23"/>
        <v>160</v>
      </c>
      <c r="T65" s="106" t="str">
        <f t="shared" si="23"/>
        <v/>
      </c>
      <c r="U65" s="106" t="str">
        <f t="shared" si="23"/>
        <v/>
      </c>
      <c r="V65" s="106" t="str">
        <f t="shared" si="23"/>
        <v/>
      </c>
      <c r="W65" s="106" t="str">
        <f t="shared" si="23"/>
        <v/>
      </c>
      <c r="X65" s="106" t="str">
        <f t="shared" si="23"/>
        <v/>
      </c>
      <c r="Y65" s="106" t="str">
        <f t="shared" si="23"/>
        <v/>
      </c>
      <c r="Z65" s="106">
        <f t="shared" si="23"/>
        <v>80</v>
      </c>
      <c r="AA65" s="107" t="s">
        <v>927</v>
      </c>
      <c r="AB65" s="107"/>
      <c r="AC65" s="107"/>
      <c r="AD65" s="107"/>
      <c r="AE65" s="107"/>
      <c r="AF65" s="146" t="s">
        <v>928</v>
      </c>
      <c r="AH65" s="8"/>
      <c r="AI65" s="8"/>
      <c r="AJ65" s="8">
        <v>40</v>
      </c>
      <c r="AK65" s="8"/>
      <c r="AL65" s="8"/>
      <c r="AM65" s="8"/>
      <c r="AN65" s="8"/>
      <c r="AO65" s="8"/>
      <c r="AP65" s="8"/>
      <c r="AQ65" s="8">
        <v>20</v>
      </c>
      <c r="AR65" s="103">
        <v>1.5</v>
      </c>
      <c r="AS65" s="8" t="str">
        <f>IF(OR(표1_3[[#This Row],[등급]]="명서",(표1_3[[#This Row],[등급]]="고급")),IF(AH65="","",AH65*$AR65),"")</f>
        <v/>
      </c>
      <c r="AT65" s="8" t="str">
        <f>IF(OR(표1_3[[#This Row],[등급]]="명서",(표1_3[[#This Row],[등급]]="고급")),IF(AI65="","",AI65*$AR65),"")</f>
        <v/>
      </c>
      <c r="AU65" s="8">
        <f>IF(OR(표1_3[[#This Row],[등급]]="명서",(표1_3[[#This Row],[등급]]="고급")),IF(AJ65="","",AJ65*$AR65),"")</f>
        <v>60</v>
      </c>
      <c r="AV65" s="8" t="str">
        <f>IF(OR(표1_3[[#This Row],[등급]]="명서",(표1_3[[#This Row],[등급]]="고급")),IF(AK65="","",AK65*$AR65),"")</f>
        <v/>
      </c>
      <c r="AW65" s="8" t="str">
        <f>IF(OR(표1_3[[#This Row],[등급]]="명서",(표1_3[[#This Row],[등급]]="고급")),IF(AL65="","",AL65*$AR65),"")</f>
        <v/>
      </c>
      <c r="AX65" s="8" t="str">
        <f>IF(OR(표1_3[[#This Row],[등급]]="명서",(표1_3[[#This Row],[등급]]="고급")),IF(AM65="","",AM65*$AR65),"")</f>
        <v/>
      </c>
      <c r="AY65" s="8" t="str">
        <f>IF(OR(표1_3[[#This Row],[등급]]="명서",(표1_3[[#This Row],[등급]]="고급")),IF(AN65="","",AN65*$AR65),"")</f>
        <v/>
      </c>
      <c r="AZ65" s="8" t="str">
        <f>IF(OR(표1_3[[#This Row],[등급]]="명서",(표1_3[[#This Row],[등급]]="고급")),IF(AO65="","",AO65*$AR65),"")</f>
        <v/>
      </c>
      <c r="BA65" s="8" t="str">
        <f>IF(OR(표1_3[[#This Row],[등급]]="명서",(표1_3[[#This Row],[등급]]="고급")),IF(AP65="","",AP65*$AR65),"")</f>
        <v/>
      </c>
      <c r="BB65" s="8">
        <f>IF(OR(표1_3[[#This Row],[등급]]="명서",(표1_3[[#This Row],[등급]]="고급")),IF(AQ65="","",AQ65*$AR65),"")</f>
        <v>30</v>
      </c>
    </row>
    <row r="66" spans="1:54" x14ac:dyDescent="0.3">
      <c r="A66" s="5" t="s">
        <v>83</v>
      </c>
      <c r="B66" s="6" t="s">
        <v>34</v>
      </c>
      <c r="C66" s="203" t="s">
        <v>799</v>
      </c>
      <c r="D66" s="7" t="s">
        <v>108</v>
      </c>
      <c r="E66" s="7">
        <f t="array" ref="E66">INDEX(표1[내 책 등급], MATCH(1, (표1[사용자] ='성장 시뮬레이터'!$B$1) * (표1[책이름] = D66), 0))</f>
        <v>10</v>
      </c>
      <c r="F66" s="6" t="s">
        <v>14</v>
      </c>
      <c r="G66" s="142">
        <v>89</v>
      </c>
      <c r="H66" s="8" t="str">
        <f>IF(ISNUMBER(SEARCH("여", F66)), IF('성장 시뮬레이터'!$C$9=2, "O", "X"), "O")</f>
        <v>O</v>
      </c>
      <c r="I66" s="8" t="str">
        <f>IF(OR(ISNUMBER(SEARCH("위나라", F66)), ISNUMBER(SEARCH("촉나라", F66)), ISNUMBER(SEARCH("오나라", F66)), ISNUMBER(SEARCH("군웅", F66))), IF(ISNUMBER(SEARCH('성장 시뮬레이터'!$C$10, F66)), "O", "X"), "O")</f>
        <v>O</v>
      </c>
      <c r="J66" s="8" t="str">
        <f>IF(
    AND(
        H66="O",
        I66="O",
        IF(ISNUMBER(SEARCH("무력+지력", F66)), ('성장 시뮬레이터'!$G$5+'성장 시뮬레이터'!$G$6) &gt;= G66,
           IF(ISNUMBER(SEARCH("무력", F66)), '성장 시뮬레이터'!$G$5 &gt;= G66,
           IF(ISNUMBER(SEARCH("지력", F66)), '성장 시뮬레이터'!$G$6 &gt;= G66,
           IF(ISNUMBER(SEARCH("내력", F66)), '성장 시뮬레이터'!$G$7 &gt;= G66,
           IF(ISNUMBER(SEARCH("체력", F66)), '성장 시뮬레이터'!$G$8 &gt;= G66, FALSE)))))
    ), "O", "X")</f>
        <v>O</v>
      </c>
      <c r="K66" s="106" t="str">
        <f>IF(
    AND(
        H66="O",
        I66="O",
        IF(ISNUMBER(SEARCH("무력+지력", F66)), ('성장 시뮬레이터'!$I$5+'성장 시뮬레이터'!$I$6) &gt;= G66,
           IF(ISNUMBER(SEARCH("무력", F66)), '성장 시뮬레이터'!$I$5 &gt;= G66,
           IF(ISNUMBER(SEARCH("지력", F66)), '성장 시뮬레이터'!$I$6 &gt;= G66,
           IF(ISNUMBER(SEARCH("내력", F66)), '성장 시뮬레이터'!$I$7 &gt;= G66,
           IF(ISNUMBER(SEARCH("체력", F66)), '성장 시뮬레이터'!$I$8 &gt;= G66, FALSE)))))
    ), "O", "X")</f>
        <v>O</v>
      </c>
      <c r="L66" s="106" t="str">
        <f>IF(
    AND(
        H66="O",
        I66="O",
        IF(ISNUMBER(SEARCH("무력+지력", F66)), ('성장 시뮬레이터'!$K$5+'성장 시뮬레이터'!$K$6) &gt;= G66,
           IF(ISNUMBER(SEARCH("무력", F66)), '성장 시뮬레이터'!$K$5 &gt;= G66,
           IF(ISNUMBER(SEARCH("지력", F66)), '성장 시뮬레이터'!$K$6 &gt;= G66,
           IF(ISNUMBER(SEARCH("내력", F66)), '성장 시뮬레이터'!$K$7 &gt;= G66,
           IF(ISNUMBER(SEARCH("체력", F66)), '성장 시뮬레이터'!$K$8 &gt;= G66, FALSE)))))
    ), "O", "X")</f>
        <v>O</v>
      </c>
      <c r="M66" s="106" t="str">
        <f>IF(
    AND(
        H66="O",
        I66="O",
        IF(ISNUMBER(SEARCH("무력+지력", F66)), ('성장 시뮬레이터'!$M$5+'성장 시뮬레이터'!$M$6) &gt;= G66,
           IF(ISNUMBER(SEARCH("무력", F66)), '성장 시뮬레이터'!$M$5 &gt;= G66,
           IF(ISNUMBER(SEARCH("지력", F66)), '성장 시뮬레이터'!$M$6 &gt;= G66,
           IF(ISNUMBER(SEARCH("내력", F66)), '성장 시뮬레이터'!$M$7 &gt;= G66,
           IF(ISNUMBER(SEARCH("체력", F66)), '성장 시뮬레이터'!$M$8 &gt;= G66, FALSE)))))
    ), "O", "X")</f>
        <v>O</v>
      </c>
      <c r="N66" s="106" t="str">
        <f>IF(
    AND(
        H66="O",
        I66="O",
        IF(ISNUMBER(SEARCH("무력+지력", F66)), ('성장 시뮬레이터'!$O$5+'성장 시뮬레이터'!$O$6) &gt;= G66,
           IF(ISNUMBER(SEARCH("무력", F66)), '성장 시뮬레이터'!$O$5 &gt;= G66,
           IF(ISNUMBER(SEARCH("지력", F66)), '성장 시뮬레이터'!$O$6 &gt;= G66,
           IF(ISNUMBER(SEARCH("내력", F66)), '성장 시뮬레이터'!$O$7 &gt;= G66,
           IF(ISNUMBER(SEARCH("체력", F66)), '성장 시뮬레이터'!$O$8 &gt;= G66, FALSE)))))
    ), "O", "X")</f>
        <v>O</v>
      </c>
      <c r="O66" s="106" t="str">
        <f>IF(
    AND(
        H66="O",
        I66="O",
        IF(ISNUMBER(SEARCH("무력+지력", F66)), ('성장 시뮬레이터'!$Q$5+'성장 시뮬레이터'!$Q$6) &gt;= G66,
           IF(ISNUMBER(SEARCH("무력", F66)), '성장 시뮬레이터'!$Q$5 &gt;= G66,
           IF(ISNUMBER(SEARCH("지력", F66)), '성장 시뮬레이터'!$Q$6 &gt;= G66,
           IF(ISNUMBER(SEARCH("내력", F66)), '성장 시뮬레이터'!$Q$7 &gt;= G66,
           IF(ISNUMBER(SEARCH("체력", F66)), '성장 시뮬레이터'!$Q$8 &gt;= G66, FALSE)))))
    ), "O", "X")</f>
        <v>O</v>
      </c>
      <c r="P66" s="106" t="s">
        <v>904</v>
      </c>
      <c r="Q66" s="142" t="str">
        <f t="shared" si="12"/>
        <v/>
      </c>
      <c r="R66" s="142">
        <f t="shared" si="13"/>
        <v>95</v>
      </c>
      <c r="S66" s="142" t="str">
        <f t="shared" si="14"/>
        <v/>
      </c>
      <c r="T66" s="142">
        <f t="shared" si="15"/>
        <v>190</v>
      </c>
      <c r="U66" s="142" t="str">
        <f t="shared" si="16"/>
        <v/>
      </c>
      <c r="V66" s="142" t="str">
        <f t="shared" si="17"/>
        <v/>
      </c>
      <c r="W66" s="142" t="str">
        <f t="shared" si="18"/>
        <v/>
      </c>
      <c r="X66" s="142" t="str">
        <f t="shared" si="19"/>
        <v/>
      </c>
      <c r="Y66" s="142" t="str">
        <f t="shared" si="20"/>
        <v/>
      </c>
      <c r="Z66" s="142" t="str">
        <f t="shared" si="21"/>
        <v/>
      </c>
      <c r="AA66" s="9" t="s">
        <v>109</v>
      </c>
      <c r="AB66" s="9"/>
      <c r="AC66" s="9"/>
      <c r="AD66" s="9"/>
      <c r="AE66" s="10"/>
      <c r="AF66" s="143" t="s">
        <v>168</v>
      </c>
      <c r="AH66" s="8"/>
      <c r="AI66" s="8">
        <v>15</v>
      </c>
      <c r="AJ66" s="8"/>
      <c r="AK66" s="8">
        <v>30</v>
      </c>
      <c r="AL66" s="8"/>
      <c r="AM66" s="8"/>
      <c r="AN66" s="8"/>
      <c r="AO66" s="8"/>
      <c r="AP66" s="8"/>
      <c r="AQ66" s="8"/>
      <c r="AR66" s="104" t="s">
        <v>647</v>
      </c>
      <c r="AS66" s="8"/>
      <c r="AT66" s="8">
        <v>20</v>
      </c>
      <c r="AU66" s="8"/>
      <c r="AV66" s="8">
        <v>40</v>
      </c>
      <c r="AW66" s="8"/>
      <c r="AX66" s="8"/>
      <c r="AY66" s="8"/>
      <c r="AZ66" s="8"/>
      <c r="BA66" s="8"/>
      <c r="BB66" s="8"/>
    </row>
    <row r="67" spans="1:54" x14ac:dyDescent="0.3">
      <c r="A67" s="5" t="s">
        <v>83</v>
      </c>
      <c r="B67" s="6" t="s">
        <v>34</v>
      </c>
      <c r="C67" s="203" t="s">
        <v>799</v>
      </c>
      <c r="D67" s="7" t="s">
        <v>110</v>
      </c>
      <c r="E67" s="7">
        <f t="array" ref="E67">INDEX(표1[내 책 등급], MATCH(1, (표1[사용자] ='성장 시뮬레이터'!$B$1) * (표1[책이름] = D67), 0))</f>
        <v>10</v>
      </c>
      <c r="F67" s="6" t="s">
        <v>21</v>
      </c>
      <c r="G67" s="142">
        <v>89</v>
      </c>
      <c r="H67" s="8" t="str">
        <f>IF(ISNUMBER(SEARCH("여", F67)), IF('성장 시뮬레이터'!$C$9=2, "O", "X"), "O")</f>
        <v>O</v>
      </c>
      <c r="I67" s="8" t="str">
        <f>IF(OR(ISNUMBER(SEARCH("위나라", F67)), ISNUMBER(SEARCH("촉나라", F67)), ISNUMBER(SEARCH("오나라", F67)), ISNUMBER(SEARCH("군웅", F67))), IF(ISNUMBER(SEARCH('성장 시뮬레이터'!$C$10, F67)), "O", "X"), "O")</f>
        <v>O</v>
      </c>
      <c r="J67" s="8" t="str">
        <f>IF(
    AND(
        H67="O",
        I67="O",
        IF(ISNUMBER(SEARCH("무력+지력", F67)), ('성장 시뮬레이터'!$G$5+'성장 시뮬레이터'!$G$6) &gt;= G67,
           IF(ISNUMBER(SEARCH("무력", F67)), '성장 시뮬레이터'!$G$5 &gt;= G67,
           IF(ISNUMBER(SEARCH("지력", F67)), '성장 시뮬레이터'!$G$6 &gt;= G67,
           IF(ISNUMBER(SEARCH("내력", F67)), '성장 시뮬레이터'!$G$7 &gt;= G67,
           IF(ISNUMBER(SEARCH("체력", F67)), '성장 시뮬레이터'!$G$8 &gt;= G67, FALSE)))))
    ), "O", "X")</f>
        <v>X</v>
      </c>
      <c r="K67" s="106" t="str">
        <f>IF(
    AND(
        H67="O",
        I67="O",
        IF(ISNUMBER(SEARCH("무력+지력", F67)), ('성장 시뮬레이터'!$I$5+'성장 시뮬레이터'!$I$6) &gt;= G67,
           IF(ISNUMBER(SEARCH("무력", F67)), '성장 시뮬레이터'!$I$5 &gt;= G67,
           IF(ISNUMBER(SEARCH("지력", F67)), '성장 시뮬레이터'!$I$6 &gt;= G67,
           IF(ISNUMBER(SEARCH("내력", F67)), '성장 시뮬레이터'!$I$7 &gt;= G67,
           IF(ISNUMBER(SEARCH("체력", F67)), '성장 시뮬레이터'!$I$8 &gt;= G67, FALSE)))))
    ), "O", "X")</f>
        <v>X</v>
      </c>
      <c r="L67" s="106" t="str">
        <f>IF(
    AND(
        H67="O",
        I67="O",
        IF(ISNUMBER(SEARCH("무력+지력", F67)), ('성장 시뮬레이터'!$K$5+'성장 시뮬레이터'!$K$6) &gt;= G67,
           IF(ISNUMBER(SEARCH("무력", F67)), '성장 시뮬레이터'!$K$5 &gt;= G67,
           IF(ISNUMBER(SEARCH("지력", F67)), '성장 시뮬레이터'!$K$6 &gt;= G67,
           IF(ISNUMBER(SEARCH("내력", F67)), '성장 시뮬레이터'!$K$7 &gt;= G67,
           IF(ISNUMBER(SEARCH("체력", F67)), '성장 시뮬레이터'!$K$8 &gt;= G67, FALSE)))))
    ), "O", "X")</f>
        <v>O</v>
      </c>
      <c r="M67" s="106" t="str">
        <f>IF(
    AND(
        H67="O",
        I67="O",
        IF(ISNUMBER(SEARCH("무력+지력", F67)), ('성장 시뮬레이터'!$M$5+'성장 시뮬레이터'!$M$6) &gt;= G67,
           IF(ISNUMBER(SEARCH("무력", F67)), '성장 시뮬레이터'!$M$5 &gt;= G67,
           IF(ISNUMBER(SEARCH("지력", F67)), '성장 시뮬레이터'!$M$6 &gt;= G67,
           IF(ISNUMBER(SEARCH("내력", F67)), '성장 시뮬레이터'!$M$7 &gt;= G67,
           IF(ISNUMBER(SEARCH("체력", F67)), '성장 시뮬레이터'!$M$8 &gt;= G67, FALSE)))))
    ), "O", "X")</f>
        <v>O</v>
      </c>
      <c r="N67" s="106" t="str">
        <f>IF(
    AND(
        H67="O",
        I67="O",
        IF(ISNUMBER(SEARCH("무력+지력", F67)), ('성장 시뮬레이터'!$O$5+'성장 시뮬레이터'!$O$6) &gt;= G67,
           IF(ISNUMBER(SEARCH("무력", F67)), '성장 시뮬레이터'!$O$5 &gt;= G67,
           IF(ISNUMBER(SEARCH("지력", F67)), '성장 시뮬레이터'!$O$6 &gt;= G67,
           IF(ISNUMBER(SEARCH("내력", F67)), '성장 시뮬레이터'!$O$7 &gt;= G67,
           IF(ISNUMBER(SEARCH("체력", F67)), '성장 시뮬레이터'!$O$8 &gt;= G67, FALSE)))))
    ), "O", "X")</f>
        <v>O</v>
      </c>
      <c r="O67" s="106" t="str">
        <f>IF(
    AND(
        H67="O",
        I67="O",
        IF(ISNUMBER(SEARCH("무력+지력", F67)), ('성장 시뮬레이터'!$Q$5+'성장 시뮬레이터'!$Q$6) &gt;= G67,
           IF(ISNUMBER(SEARCH("무력", F67)), '성장 시뮬레이터'!$Q$5 &gt;= G67,
           IF(ISNUMBER(SEARCH("지력", F67)), '성장 시뮬레이터'!$Q$6 &gt;= G67,
           IF(ISNUMBER(SEARCH("내력", F67)), '성장 시뮬레이터'!$Q$7 &gt;= G67,
           IF(ISNUMBER(SEARCH("체력", F67)), '성장 시뮬레이터'!$Q$8 &gt;= G67, FALSE)))))
    ), "O", "X")</f>
        <v>O</v>
      </c>
      <c r="P67" s="106" t="s">
        <v>904</v>
      </c>
      <c r="Q67" s="142">
        <f t="shared" si="12"/>
        <v>155</v>
      </c>
      <c r="R67" s="142" t="str">
        <f t="shared" si="13"/>
        <v/>
      </c>
      <c r="S67" s="142" t="str">
        <f t="shared" si="14"/>
        <v/>
      </c>
      <c r="T67" s="142" t="str">
        <f t="shared" si="15"/>
        <v/>
      </c>
      <c r="U67" s="142" t="str">
        <f t="shared" si="16"/>
        <v/>
      </c>
      <c r="V67" s="142" t="str">
        <f t="shared" si="17"/>
        <v/>
      </c>
      <c r="W67" s="142" t="str">
        <f t="shared" si="18"/>
        <v/>
      </c>
      <c r="X67" s="142">
        <f t="shared" si="19"/>
        <v>190</v>
      </c>
      <c r="Y67" s="142" t="str">
        <f t="shared" si="20"/>
        <v/>
      </c>
      <c r="Z67" s="142" t="str">
        <f t="shared" si="21"/>
        <v/>
      </c>
      <c r="AA67" s="11" t="s">
        <v>169</v>
      </c>
      <c r="AB67" s="11"/>
      <c r="AC67" s="11"/>
      <c r="AD67" s="11"/>
      <c r="AE67" s="12"/>
      <c r="AF67" s="144" t="s">
        <v>111</v>
      </c>
      <c r="AH67" s="8">
        <v>25</v>
      </c>
      <c r="AI67" s="8"/>
      <c r="AJ67" s="8"/>
      <c r="AK67" s="8"/>
      <c r="AL67" s="8"/>
      <c r="AM67" s="8"/>
      <c r="AN67" s="8"/>
      <c r="AO67" s="8">
        <v>30</v>
      </c>
      <c r="AP67" s="8"/>
      <c r="AQ67" s="8"/>
      <c r="AR67" s="104" t="s">
        <v>647</v>
      </c>
      <c r="AS67" s="8">
        <v>30</v>
      </c>
      <c r="AT67" s="8"/>
      <c r="AU67" s="8"/>
      <c r="AV67" s="8"/>
      <c r="AW67" s="8"/>
      <c r="AX67" s="8"/>
      <c r="AY67" s="8"/>
      <c r="AZ67" s="8">
        <v>40</v>
      </c>
      <c r="BA67" s="8"/>
      <c r="BB67" s="8"/>
    </row>
    <row r="68" spans="1:54" x14ac:dyDescent="0.3">
      <c r="A68" s="5" t="s">
        <v>83</v>
      </c>
      <c r="B68" s="6" t="s">
        <v>41</v>
      </c>
      <c r="C68" s="203" t="s">
        <v>799</v>
      </c>
      <c r="D68" s="7" t="s">
        <v>112</v>
      </c>
      <c r="E68" s="7">
        <f t="array" ref="E68">INDEX(표1[내 책 등급], MATCH(1, (표1[사용자] ='성장 시뮬레이터'!$B$1) * (표1[책이름] = D68), 0))</f>
        <v>5</v>
      </c>
      <c r="F68" s="6" t="s">
        <v>14</v>
      </c>
      <c r="G68" s="142">
        <v>90</v>
      </c>
      <c r="H68" s="8" t="str">
        <f>IF(ISNUMBER(SEARCH("여", F68)), IF('성장 시뮬레이터'!$C$9=2, "O", "X"), "O")</f>
        <v>O</v>
      </c>
      <c r="I68" s="8" t="str">
        <f>IF(OR(ISNUMBER(SEARCH("위나라", F68)), ISNUMBER(SEARCH("촉나라", F68)), ISNUMBER(SEARCH("오나라", F68)), ISNUMBER(SEARCH("군웅", F68))), IF(ISNUMBER(SEARCH('성장 시뮬레이터'!$C$10, F68)), "O", "X"), "O")</f>
        <v>O</v>
      </c>
      <c r="J68" s="8" t="str">
        <f>IF(
    AND(
        H68="O",
        I68="O",
        IF(ISNUMBER(SEARCH("무력+지력", F68)), ('성장 시뮬레이터'!$G$5+'성장 시뮬레이터'!$G$6) &gt;= G68,
           IF(ISNUMBER(SEARCH("무력", F68)), '성장 시뮬레이터'!$G$5 &gt;= G68,
           IF(ISNUMBER(SEARCH("지력", F68)), '성장 시뮬레이터'!$G$6 &gt;= G68,
           IF(ISNUMBER(SEARCH("내력", F68)), '성장 시뮬레이터'!$G$7 &gt;= G68,
           IF(ISNUMBER(SEARCH("체력", F68)), '성장 시뮬레이터'!$G$8 &gt;= G68, FALSE)))))
    ), "O", "X")</f>
        <v>O</v>
      </c>
      <c r="K68" s="106" t="str">
        <f>IF(
    AND(
        H68="O",
        I68="O",
        IF(ISNUMBER(SEARCH("무력+지력", F68)), ('성장 시뮬레이터'!$I$5+'성장 시뮬레이터'!$I$6) &gt;= G68,
           IF(ISNUMBER(SEARCH("무력", F68)), '성장 시뮬레이터'!$I$5 &gt;= G68,
           IF(ISNUMBER(SEARCH("지력", F68)), '성장 시뮬레이터'!$I$6 &gt;= G68,
           IF(ISNUMBER(SEARCH("내력", F68)), '성장 시뮬레이터'!$I$7 &gt;= G68,
           IF(ISNUMBER(SEARCH("체력", F68)), '성장 시뮬레이터'!$I$8 &gt;= G68, FALSE)))))
    ), "O", "X")</f>
        <v>O</v>
      </c>
      <c r="L68" s="106" t="str">
        <f>IF(
    AND(
        H68="O",
        I68="O",
        IF(ISNUMBER(SEARCH("무력+지력", F68)), ('성장 시뮬레이터'!$K$5+'성장 시뮬레이터'!$K$6) &gt;= G68,
           IF(ISNUMBER(SEARCH("무력", F68)), '성장 시뮬레이터'!$K$5 &gt;= G68,
           IF(ISNUMBER(SEARCH("지력", F68)), '성장 시뮬레이터'!$K$6 &gt;= G68,
           IF(ISNUMBER(SEARCH("내력", F68)), '성장 시뮬레이터'!$K$7 &gt;= G68,
           IF(ISNUMBER(SEARCH("체력", F68)), '성장 시뮬레이터'!$K$8 &gt;= G68, FALSE)))))
    ), "O", "X")</f>
        <v>O</v>
      </c>
      <c r="M68" s="106" t="str">
        <f>IF(
    AND(
        H68="O",
        I68="O",
        IF(ISNUMBER(SEARCH("무력+지력", F68)), ('성장 시뮬레이터'!$M$5+'성장 시뮬레이터'!$M$6) &gt;= G68,
           IF(ISNUMBER(SEARCH("무력", F68)), '성장 시뮬레이터'!$M$5 &gt;= G68,
           IF(ISNUMBER(SEARCH("지력", F68)), '성장 시뮬레이터'!$M$6 &gt;= G68,
           IF(ISNUMBER(SEARCH("내력", F68)), '성장 시뮬레이터'!$M$7 &gt;= G68,
           IF(ISNUMBER(SEARCH("체력", F68)), '성장 시뮬레이터'!$M$8 &gt;= G68, FALSE)))))
    ), "O", "X")</f>
        <v>O</v>
      </c>
      <c r="N68" s="106" t="str">
        <f>IF(
    AND(
        H68="O",
        I68="O",
        IF(ISNUMBER(SEARCH("무력+지력", F68)), ('성장 시뮬레이터'!$O$5+'성장 시뮬레이터'!$O$6) &gt;= G68,
           IF(ISNUMBER(SEARCH("무력", F68)), '성장 시뮬레이터'!$O$5 &gt;= G68,
           IF(ISNUMBER(SEARCH("지력", F68)), '성장 시뮬레이터'!$O$6 &gt;= G68,
           IF(ISNUMBER(SEARCH("내력", F68)), '성장 시뮬레이터'!$O$7 &gt;= G68,
           IF(ISNUMBER(SEARCH("체력", F68)), '성장 시뮬레이터'!$O$8 &gt;= G68, FALSE)))))
    ), "O", "X")</f>
        <v>O</v>
      </c>
      <c r="O68" s="106" t="str">
        <f>IF(
    AND(
        H68="O",
        I68="O",
        IF(ISNUMBER(SEARCH("무력+지력", F68)), ('성장 시뮬레이터'!$Q$5+'성장 시뮬레이터'!$Q$6) &gt;= G68,
           IF(ISNUMBER(SEARCH("무력", F68)), '성장 시뮬레이터'!$Q$5 &gt;= G68,
           IF(ISNUMBER(SEARCH("지력", F68)), '성장 시뮬레이터'!$Q$6 &gt;= G68,
           IF(ISNUMBER(SEARCH("내력", F68)), '성장 시뮬레이터'!$Q$7 &gt;= G68,
           IF(ISNUMBER(SEARCH("체력", F68)), '성장 시뮬레이터'!$Q$8 &gt;= G68, FALSE)))))
    ), "O", "X")</f>
        <v>O</v>
      </c>
      <c r="P68" s="106" t="s">
        <v>904</v>
      </c>
      <c r="Q68" s="142" t="str">
        <f t="shared" si="12"/>
        <v/>
      </c>
      <c r="R68" s="142" t="str">
        <f t="shared" si="13"/>
        <v/>
      </c>
      <c r="S68" s="142" t="str">
        <f t="shared" si="14"/>
        <v/>
      </c>
      <c r="T68" s="142">
        <f t="shared" si="15"/>
        <v>50</v>
      </c>
      <c r="U68" s="142" t="str">
        <f t="shared" si="16"/>
        <v/>
      </c>
      <c r="V68" s="142" t="str">
        <f t="shared" si="17"/>
        <v/>
      </c>
      <c r="W68" s="142" t="str">
        <f t="shared" si="18"/>
        <v/>
      </c>
      <c r="X68" s="142" t="str">
        <f t="shared" si="19"/>
        <v/>
      </c>
      <c r="Y68" s="142" t="str">
        <f t="shared" si="20"/>
        <v/>
      </c>
      <c r="Z68" s="142" t="str">
        <f t="shared" si="21"/>
        <v/>
      </c>
      <c r="AA68" s="9" t="s">
        <v>651</v>
      </c>
      <c r="AB68" s="9" t="s">
        <v>43</v>
      </c>
      <c r="AC68" s="9" t="s">
        <v>43</v>
      </c>
      <c r="AD68" s="9" t="s">
        <v>43</v>
      </c>
      <c r="AE68" s="10" t="s">
        <v>43</v>
      </c>
      <c r="AF68" s="143" t="s">
        <v>43</v>
      </c>
      <c r="AH68" s="8"/>
      <c r="AI68" s="8"/>
      <c r="AJ68" s="8"/>
      <c r="AK68" s="8">
        <v>50</v>
      </c>
      <c r="AL68" s="8"/>
      <c r="AM68" s="8"/>
      <c r="AN68" s="8"/>
      <c r="AO68" s="8"/>
      <c r="AP68" s="8"/>
      <c r="AQ68" s="8"/>
      <c r="AR68" s="103"/>
      <c r="AS68" s="8"/>
      <c r="AT68" s="8"/>
      <c r="AU68" s="8"/>
      <c r="AV68" s="8"/>
      <c r="AW68" s="8"/>
      <c r="AX68" s="8"/>
      <c r="AY68" s="8"/>
      <c r="AZ68" s="8"/>
      <c r="BA68" s="8"/>
      <c r="BB68" s="8"/>
    </row>
    <row r="69" spans="1:54" x14ac:dyDescent="0.3">
      <c r="A69" s="5" t="s">
        <v>83</v>
      </c>
      <c r="B69" s="6" t="s">
        <v>46</v>
      </c>
      <c r="C69" s="203" t="s">
        <v>799</v>
      </c>
      <c r="D69" s="7" t="s">
        <v>113</v>
      </c>
      <c r="E69" s="7">
        <f t="array" ref="E69">INDEX(표1[내 책 등급], MATCH(1, (표1[사용자] ='성장 시뮬레이터'!$B$1) * (표1[책이름] = D69), 0))</f>
        <v>4</v>
      </c>
      <c r="F69" s="6" t="s">
        <v>14</v>
      </c>
      <c r="G69" s="142">
        <v>81</v>
      </c>
      <c r="H69" s="8" t="str">
        <f>IF(ISNUMBER(SEARCH("여", F69)), IF('성장 시뮬레이터'!$C$9=2, "O", "X"), "O")</f>
        <v>O</v>
      </c>
      <c r="I69" s="8" t="str">
        <f>IF(OR(ISNUMBER(SEARCH("위나라", F69)), ISNUMBER(SEARCH("촉나라", F69)), ISNUMBER(SEARCH("오나라", F69)), ISNUMBER(SEARCH("군웅", F69))), IF(ISNUMBER(SEARCH('성장 시뮬레이터'!$C$10, F69)), "O", "X"), "O")</f>
        <v>O</v>
      </c>
      <c r="J69" s="8" t="str">
        <f>IF(
    AND(
        H69="O",
        I69="O",
        IF(ISNUMBER(SEARCH("무력+지력", F69)), ('성장 시뮬레이터'!$G$5+'성장 시뮬레이터'!$G$6) &gt;= G69,
           IF(ISNUMBER(SEARCH("무력", F69)), '성장 시뮬레이터'!$G$5 &gt;= G69,
           IF(ISNUMBER(SEARCH("지력", F69)), '성장 시뮬레이터'!$G$6 &gt;= G69,
           IF(ISNUMBER(SEARCH("내력", F69)), '성장 시뮬레이터'!$G$7 &gt;= G69,
           IF(ISNUMBER(SEARCH("체력", F69)), '성장 시뮬레이터'!$G$8 &gt;= G69, FALSE)))))
    ), "O", "X")</f>
        <v>O</v>
      </c>
      <c r="K69" s="106" t="str">
        <f>IF(
    AND(
        H69="O",
        I69="O",
        IF(ISNUMBER(SEARCH("무력+지력", F69)), ('성장 시뮬레이터'!$I$5+'성장 시뮬레이터'!$I$6) &gt;= G69,
           IF(ISNUMBER(SEARCH("무력", F69)), '성장 시뮬레이터'!$I$5 &gt;= G69,
           IF(ISNUMBER(SEARCH("지력", F69)), '성장 시뮬레이터'!$I$6 &gt;= G69,
           IF(ISNUMBER(SEARCH("내력", F69)), '성장 시뮬레이터'!$I$7 &gt;= G69,
           IF(ISNUMBER(SEARCH("체력", F69)), '성장 시뮬레이터'!$I$8 &gt;= G69, FALSE)))))
    ), "O", "X")</f>
        <v>O</v>
      </c>
      <c r="L69" s="106" t="str">
        <f>IF(
    AND(
        H69="O",
        I69="O",
        IF(ISNUMBER(SEARCH("무력+지력", F69)), ('성장 시뮬레이터'!$K$5+'성장 시뮬레이터'!$K$6) &gt;= G69,
           IF(ISNUMBER(SEARCH("무력", F69)), '성장 시뮬레이터'!$K$5 &gt;= G69,
           IF(ISNUMBER(SEARCH("지력", F69)), '성장 시뮬레이터'!$K$6 &gt;= G69,
           IF(ISNUMBER(SEARCH("내력", F69)), '성장 시뮬레이터'!$K$7 &gt;= G69,
           IF(ISNUMBER(SEARCH("체력", F69)), '성장 시뮬레이터'!$K$8 &gt;= G69, FALSE)))))
    ), "O", "X")</f>
        <v>O</v>
      </c>
      <c r="M69" s="106" t="str">
        <f>IF(
    AND(
        H69="O",
        I69="O",
        IF(ISNUMBER(SEARCH("무력+지력", F69)), ('성장 시뮬레이터'!$M$5+'성장 시뮬레이터'!$M$6) &gt;= G69,
           IF(ISNUMBER(SEARCH("무력", F69)), '성장 시뮬레이터'!$M$5 &gt;= G69,
           IF(ISNUMBER(SEARCH("지력", F69)), '성장 시뮬레이터'!$M$6 &gt;= G69,
           IF(ISNUMBER(SEARCH("내력", F69)), '성장 시뮬레이터'!$M$7 &gt;= G69,
           IF(ISNUMBER(SEARCH("체력", F69)), '성장 시뮬레이터'!$M$8 &gt;= G69, FALSE)))))
    ), "O", "X")</f>
        <v>O</v>
      </c>
      <c r="N69" s="106" t="str">
        <f>IF(
    AND(
        H69="O",
        I69="O",
        IF(ISNUMBER(SEARCH("무력+지력", F69)), ('성장 시뮬레이터'!$O$5+'성장 시뮬레이터'!$O$6) &gt;= G69,
           IF(ISNUMBER(SEARCH("무력", F69)), '성장 시뮬레이터'!$O$5 &gt;= G69,
           IF(ISNUMBER(SEARCH("지력", F69)), '성장 시뮬레이터'!$O$6 &gt;= G69,
           IF(ISNUMBER(SEARCH("내력", F69)), '성장 시뮬레이터'!$O$7 &gt;= G69,
           IF(ISNUMBER(SEARCH("체력", F69)), '성장 시뮬레이터'!$O$8 &gt;= G69, FALSE)))))
    ), "O", "X")</f>
        <v>O</v>
      </c>
      <c r="O69" s="106" t="str">
        <f>IF(
    AND(
        H69="O",
        I69="O",
        IF(ISNUMBER(SEARCH("무력+지력", F69)), ('성장 시뮬레이터'!$Q$5+'성장 시뮬레이터'!$Q$6) &gt;= G69,
           IF(ISNUMBER(SEARCH("무력", F69)), '성장 시뮬레이터'!$Q$5 &gt;= G69,
           IF(ISNUMBER(SEARCH("지력", F69)), '성장 시뮬레이터'!$Q$6 &gt;= G69,
           IF(ISNUMBER(SEARCH("내력", F69)), '성장 시뮬레이터'!$Q$7 &gt;= G69,
           IF(ISNUMBER(SEARCH("체력", F69)), '성장 시뮬레이터'!$Q$8 &gt;= G69, FALSE)))))
    ), "O", "X")</f>
        <v>O</v>
      </c>
      <c r="P69" s="106" t="s">
        <v>904</v>
      </c>
      <c r="Q69" s="142" t="str">
        <f t="shared" si="12"/>
        <v/>
      </c>
      <c r="R69" s="142" t="str">
        <f t="shared" si="13"/>
        <v/>
      </c>
      <c r="S69" s="142" t="str">
        <f t="shared" si="14"/>
        <v/>
      </c>
      <c r="T69" s="142">
        <f t="shared" si="15"/>
        <v>30</v>
      </c>
      <c r="U69" s="142" t="str">
        <f t="shared" si="16"/>
        <v/>
      </c>
      <c r="V69" s="142" t="str">
        <f t="shared" si="17"/>
        <v/>
      </c>
      <c r="W69" s="142" t="str">
        <f t="shared" si="18"/>
        <v/>
      </c>
      <c r="X69" s="142" t="str">
        <f t="shared" si="19"/>
        <v/>
      </c>
      <c r="Y69" s="142" t="str">
        <f t="shared" si="20"/>
        <v/>
      </c>
      <c r="Z69" s="142" t="str">
        <f t="shared" si="21"/>
        <v/>
      </c>
      <c r="AA69" s="9" t="s">
        <v>652</v>
      </c>
      <c r="AB69" s="9" t="s">
        <v>43</v>
      </c>
      <c r="AC69" s="9" t="s">
        <v>43</v>
      </c>
      <c r="AD69" s="9" t="s">
        <v>43</v>
      </c>
      <c r="AE69" s="10" t="s">
        <v>43</v>
      </c>
      <c r="AF69" s="143" t="s">
        <v>43</v>
      </c>
      <c r="AH69" s="8"/>
      <c r="AI69" s="8"/>
      <c r="AJ69" s="8"/>
      <c r="AK69" s="8">
        <v>30</v>
      </c>
      <c r="AL69" s="8"/>
      <c r="AM69" s="8"/>
      <c r="AN69" s="8"/>
      <c r="AO69" s="8"/>
      <c r="AP69" s="8"/>
      <c r="AQ69" s="8"/>
      <c r="AR69" s="103"/>
      <c r="AS69" s="8"/>
      <c r="AT69" s="8"/>
      <c r="AU69" s="8"/>
      <c r="AV69" s="8"/>
      <c r="AW69" s="8"/>
      <c r="AX69" s="8"/>
      <c r="AY69" s="8"/>
      <c r="AZ69" s="8"/>
      <c r="BA69" s="8"/>
      <c r="BB69" s="8"/>
    </row>
    <row r="70" spans="1:54" x14ac:dyDescent="0.3">
      <c r="A70" s="5" t="s">
        <v>114</v>
      </c>
      <c r="B70" s="6" t="s">
        <v>12</v>
      </c>
      <c r="C70" s="203" t="s">
        <v>799</v>
      </c>
      <c r="D70" s="7" t="s">
        <v>115</v>
      </c>
      <c r="E70" s="7">
        <f t="array" ref="E70">INDEX(표1[내 책 등급], MATCH(1, (표1[사용자] ='성장 시뮬레이터'!$B$1) * (표1[책이름] = D70), 0))</f>
        <v>10</v>
      </c>
      <c r="F70" s="6" t="s">
        <v>14</v>
      </c>
      <c r="G70" s="142">
        <v>95</v>
      </c>
      <c r="H70" s="8" t="str">
        <f>IF(ISNUMBER(SEARCH("여", F70)), IF('성장 시뮬레이터'!$C$9=2, "O", "X"), "O")</f>
        <v>O</v>
      </c>
      <c r="I70" s="8" t="str">
        <f>IF(OR(ISNUMBER(SEARCH("위나라", F70)), ISNUMBER(SEARCH("촉나라", F70)), ISNUMBER(SEARCH("오나라", F70)), ISNUMBER(SEARCH("군웅", F70))), IF(ISNUMBER(SEARCH('성장 시뮬레이터'!$C$10, F70)), "O", "X"), "O")</f>
        <v>O</v>
      </c>
      <c r="J70" s="8" t="str">
        <f>IF(
    AND(
        H70="O",
        I70="O",
        IF(ISNUMBER(SEARCH("무력+지력", F70)), ('성장 시뮬레이터'!$G$5+'성장 시뮬레이터'!$G$6) &gt;= G70,
           IF(ISNUMBER(SEARCH("무력", F70)), '성장 시뮬레이터'!$G$5 &gt;= G70,
           IF(ISNUMBER(SEARCH("지력", F70)), '성장 시뮬레이터'!$G$6 &gt;= G70,
           IF(ISNUMBER(SEARCH("내력", F70)), '성장 시뮬레이터'!$G$7 &gt;= G70,
           IF(ISNUMBER(SEARCH("체력", F70)), '성장 시뮬레이터'!$G$8 &gt;= G70, FALSE)))))
    ), "O", "X")</f>
        <v>O</v>
      </c>
      <c r="K70" s="106" t="str">
        <f>IF(
    AND(
        H70="O",
        I70="O",
        IF(ISNUMBER(SEARCH("무력+지력", F70)), ('성장 시뮬레이터'!$I$5+'성장 시뮬레이터'!$I$6) &gt;= G70,
           IF(ISNUMBER(SEARCH("무력", F70)), '성장 시뮬레이터'!$I$5 &gt;= G70,
           IF(ISNUMBER(SEARCH("지력", F70)), '성장 시뮬레이터'!$I$6 &gt;= G70,
           IF(ISNUMBER(SEARCH("내력", F70)), '성장 시뮬레이터'!$I$7 &gt;= G70,
           IF(ISNUMBER(SEARCH("체력", F70)), '성장 시뮬레이터'!$I$8 &gt;= G70, FALSE)))))
    ), "O", "X")</f>
        <v>O</v>
      </c>
      <c r="L70" s="106" t="str">
        <f>IF(
    AND(
        H70="O",
        I70="O",
        IF(ISNUMBER(SEARCH("무력+지력", F70)), ('성장 시뮬레이터'!$K$5+'성장 시뮬레이터'!$K$6) &gt;= G70,
           IF(ISNUMBER(SEARCH("무력", F70)), '성장 시뮬레이터'!$K$5 &gt;= G70,
           IF(ISNUMBER(SEARCH("지력", F70)), '성장 시뮬레이터'!$K$6 &gt;= G70,
           IF(ISNUMBER(SEARCH("내력", F70)), '성장 시뮬레이터'!$K$7 &gt;= G70,
           IF(ISNUMBER(SEARCH("체력", F70)), '성장 시뮬레이터'!$K$8 &gt;= G70, FALSE)))))
    ), "O", "X")</f>
        <v>O</v>
      </c>
      <c r="M70" s="106" t="str">
        <f>IF(
    AND(
        H70="O",
        I70="O",
        IF(ISNUMBER(SEARCH("무력+지력", F70)), ('성장 시뮬레이터'!$M$5+'성장 시뮬레이터'!$M$6) &gt;= G70,
           IF(ISNUMBER(SEARCH("무력", F70)), '성장 시뮬레이터'!$M$5 &gt;= G70,
           IF(ISNUMBER(SEARCH("지력", F70)), '성장 시뮬레이터'!$M$6 &gt;= G70,
           IF(ISNUMBER(SEARCH("내력", F70)), '성장 시뮬레이터'!$M$7 &gt;= G70,
           IF(ISNUMBER(SEARCH("체력", F70)), '성장 시뮬레이터'!$M$8 &gt;= G70, FALSE)))))
    ), "O", "X")</f>
        <v>O</v>
      </c>
      <c r="N70" s="106" t="str">
        <f>IF(
    AND(
        H70="O",
        I70="O",
        IF(ISNUMBER(SEARCH("무력+지력", F70)), ('성장 시뮬레이터'!$O$5+'성장 시뮬레이터'!$O$6) &gt;= G70,
           IF(ISNUMBER(SEARCH("무력", F70)), '성장 시뮬레이터'!$O$5 &gt;= G70,
           IF(ISNUMBER(SEARCH("지력", F70)), '성장 시뮬레이터'!$O$6 &gt;= G70,
           IF(ISNUMBER(SEARCH("내력", F70)), '성장 시뮬레이터'!$O$7 &gt;= G70,
           IF(ISNUMBER(SEARCH("체력", F70)), '성장 시뮬레이터'!$O$8 &gt;= G70, FALSE)))))
    ), "O", "X")</f>
        <v>O</v>
      </c>
      <c r="O70" s="106" t="str">
        <f>IF(
    AND(
        H70="O",
        I70="O",
        IF(ISNUMBER(SEARCH("무력+지력", F70)), ('성장 시뮬레이터'!$Q$5+'성장 시뮬레이터'!$Q$6) &gt;= G70,
           IF(ISNUMBER(SEARCH("무력", F70)), '성장 시뮬레이터'!$Q$5 &gt;= G70,
           IF(ISNUMBER(SEARCH("지력", F70)), '성장 시뮬레이터'!$Q$6 &gt;= G70,
           IF(ISNUMBER(SEARCH("내력", F70)), '성장 시뮬레이터'!$Q$7 &gt;= G70,
           IF(ISNUMBER(SEARCH("체력", F70)), '성장 시뮬레이터'!$Q$8 &gt;= G70, FALSE)))))
    ), "O", "X")</f>
        <v>O</v>
      </c>
      <c r="P70" s="106" t="s">
        <v>904</v>
      </c>
      <c r="Q70" s="142">
        <f t="shared" si="12"/>
        <v>195</v>
      </c>
      <c r="R70" s="142">
        <f t="shared" si="13"/>
        <v>260</v>
      </c>
      <c r="S70" s="142" t="str">
        <f t="shared" si="14"/>
        <v/>
      </c>
      <c r="T70" s="142" t="str">
        <f t="shared" si="15"/>
        <v/>
      </c>
      <c r="U70" s="142" t="str">
        <f t="shared" si="16"/>
        <v/>
      </c>
      <c r="V70" s="142" t="str">
        <f t="shared" si="17"/>
        <v/>
      </c>
      <c r="W70" s="142">
        <f t="shared" si="18"/>
        <v>130</v>
      </c>
      <c r="X70" s="142" t="str">
        <f t="shared" si="19"/>
        <v/>
      </c>
      <c r="Y70" s="142" t="str">
        <f t="shared" si="20"/>
        <v/>
      </c>
      <c r="Z70" s="142" t="str">
        <f t="shared" si="21"/>
        <v/>
      </c>
      <c r="AA70" s="9" t="s">
        <v>116</v>
      </c>
      <c r="AB70" s="9"/>
      <c r="AC70" s="9"/>
      <c r="AD70" s="9"/>
      <c r="AE70" s="10"/>
      <c r="AF70" s="143" t="s">
        <v>117</v>
      </c>
      <c r="AH70" s="8">
        <v>30</v>
      </c>
      <c r="AI70" s="8">
        <v>40</v>
      </c>
      <c r="AJ70" s="8"/>
      <c r="AK70" s="8"/>
      <c r="AL70" s="8"/>
      <c r="AM70" s="8"/>
      <c r="AN70" s="8">
        <v>20</v>
      </c>
      <c r="AO70" s="8"/>
      <c r="AP70" s="8"/>
      <c r="AQ70" s="8"/>
      <c r="AR70" s="103">
        <v>1.5</v>
      </c>
      <c r="AS70" s="8">
        <f>IF(OR(표1_3[[#This Row],[등급]]="명서",(표1_3[[#This Row],[등급]]="고급")),IF(AH70="","",AH70*$AR70),"")</f>
        <v>45</v>
      </c>
      <c r="AT70" s="8">
        <f>IF(OR(표1_3[[#This Row],[등급]]="명서",(표1_3[[#This Row],[등급]]="고급")),IF(AI70="","",AI70*$AR70),"")</f>
        <v>60</v>
      </c>
      <c r="AU70" s="8" t="str">
        <f>IF(OR(표1_3[[#This Row],[등급]]="명서",(표1_3[[#This Row],[등급]]="고급")),IF(AJ70="","",AJ70*$AR70),"")</f>
        <v/>
      </c>
      <c r="AV70" s="8" t="str">
        <f>IF(OR(표1_3[[#This Row],[등급]]="명서",(표1_3[[#This Row],[등급]]="고급")),IF(AK70="","",AK70*$AR70),"")</f>
        <v/>
      </c>
      <c r="AW70" s="8" t="str">
        <f>IF(OR(표1_3[[#This Row],[등급]]="명서",(표1_3[[#This Row],[등급]]="고급")),IF(AL70="","",AL70*$AR70),"")</f>
        <v/>
      </c>
      <c r="AX70" s="8" t="str">
        <f>IF(OR(표1_3[[#This Row],[등급]]="명서",(표1_3[[#This Row],[등급]]="고급")),IF(AM70="","",AM70*$AR70),"")</f>
        <v/>
      </c>
      <c r="AY70" s="8">
        <f>IF(OR(표1_3[[#This Row],[등급]]="명서",(표1_3[[#This Row],[등급]]="고급")),IF(AN70="","",AN70*$AR70),"")</f>
        <v>30</v>
      </c>
      <c r="AZ70" s="8" t="str">
        <f>IF(OR(표1_3[[#This Row],[등급]]="명서",(표1_3[[#This Row],[등급]]="고급")),IF(AO70="","",AO70*$AR70),"")</f>
        <v/>
      </c>
      <c r="BA70" s="8" t="str">
        <f>IF(OR(표1_3[[#This Row],[등급]]="명서",(표1_3[[#This Row],[등급]]="고급")),IF(AP70="","",AP70*$AR70),"")</f>
        <v/>
      </c>
      <c r="BB70" s="8" t="str">
        <f>IF(OR(표1_3[[#This Row],[등급]]="명서",(표1_3[[#This Row],[등급]]="고급")),IF(AQ70="","",AQ70*$AR70),"")</f>
        <v/>
      </c>
    </row>
    <row r="71" spans="1:54" x14ac:dyDescent="0.3">
      <c r="A71" s="5" t="s">
        <v>114</v>
      </c>
      <c r="B71" s="6" t="s">
        <v>12</v>
      </c>
      <c r="C71" s="203" t="s">
        <v>799</v>
      </c>
      <c r="D71" s="7" t="s">
        <v>118</v>
      </c>
      <c r="E71" s="7">
        <f t="array" ref="E71">INDEX(표1[내 책 등급], MATCH(1, (표1[사용자] ='성장 시뮬레이터'!$B$1) * (표1[책이름] = D71), 0))</f>
        <v>10</v>
      </c>
      <c r="F71" s="6" t="s">
        <v>14</v>
      </c>
      <c r="G71" s="142">
        <v>95</v>
      </c>
      <c r="H71" s="8" t="str">
        <f>IF(ISNUMBER(SEARCH("여", F71)), IF('성장 시뮬레이터'!$C$9=2, "O", "X"), "O")</f>
        <v>O</v>
      </c>
      <c r="I71" s="8" t="str">
        <f>IF(OR(ISNUMBER(SEARCH("위나라", F71)), ISNUMBER(SEARCH("촉나라", F71)), ISNUMBER(SEARCH("오나라", F71)), ISNUMBER(SEARCH("군웅", F71))), IF(ISNUMBER(SEARCH('성장 시뮬레이터'!$C$10, F71)), "O", "X"), "O")</f>
        <v>O</v>
      </c>
      <c r="J71" s="8" t="str">
        <f>IF(
    AND(
        H71="O",
        I71="O",
        IF(ISNUMBER(SEARCH("무력+지력", F71)), ('성장 시뮬레이터'!$G$5+'성장 시뮬레이터'!$G$6) &gt;= G71,
           IF(ISNUMBER(SEARCH("무력", F71)), '성장 시뮬레이터'!$G$5 &gt;= G71,
           IF(ISNUMBER(SEARCH("지력", F71)), '성장 시뮬레이터'!$G$6 &gt;= G71,
           IF(ISNUMBER(SEARCH("내력", F71)), '성장 시뮬레이터'!$G$7 &gt;= G71,
           IF(ISNUMBER(SEARCH("체력", F71)), '성장 시뮬레이터'!$G$8 &gt;= G71, FALSE)))))
    ), "O", "X")</f>
        <v>O</v>
      </c>
      <c r="K71" s="106" t="str">
        <f>IF(
    AND(
        H71="O",
        I71="O",
        IF(ISNUMBER(SEARCH("무력+지력", F71)), ('성장 시뮬레이터'!$I$5+'성장 시뮬레이터'!$I$6) &gt;= G71,
           IF(ISNUMBER(SEARCH("무력", F71)), '성장 시뮬레이터'!$I$5 &gt;= G71,
           IF(ISNUMBER(SEARCH("지력", F71)), '성장 시뮬레이터'!$I$6 &gt;= G71,
           IF(ISNUMBER(SEARCH("내력", F71)), '성장 시뮬레이터'!$I$7 &gt;= G71,
           IF(ISNUMBER(SEARCH("체력", F71)), '성장 시뮬레이터'!$I$8 &gt;= G71, FALSE)))))
    ), "O", "X")</f>
        <v>O</v>
      </c>
      <c r="L71" s="106" t="str">
        <f>IF(
    AND(
        H71="O",
        I71="O",
        IF(ISNUMBER(SEARCH("무력+지력", F71)), ('성장 시뮬레이터'!$K$5+'성장 시뮬레이터'!$K$6) &gt;= G71,
           IF(ISNUMBER(SEARCH("무력", F71)), '성장 시뮬레이터'!$K$5 &gt;= G71,
           IF(ISNUMBER(SEARCH("지력", F71)), '성장 시뮬레이터'!$K$6 &gt;= G71,
           IF(ISNUMBER(SEARCH("내력", F71)), '성장 시뮬레이터'!$K$7 &gt;= G71,
           IF(ISNUMBER(SEARCH("체력", F71)), '성장 시뮬레이터'!$K$8 &gt;= G71, FALSE)))))
    ), "O", "X")</f>
        <v>O</v>
      </c>
      <c r="M71" s="106" t="str">
        <f>IF(
    AND(
        H71="O",
        I71="O",
        IF(ISNUMBER(SEARCH("무력+지력", F71)), ('성장 시뮬레이터'!$M$5+'성장 시뮬레이터'!$M$6) &gt;= G71,
           IF(ISNUMBER(SEARCH("무력", F71)), '성장 시뮬레이터'!$M$5 &gt;= G71,
           IF(ISNUMBER(SEARCH("지력", F71)), '성장 시뮬레이터'!$M$6 &gt;= G71,
           IF(ISNUMBER(SEARCH("내력", F71)), '성장 시뮬레이터'!$M$7 &gt;= G71,
           IF(ISNUMBER(SEARCH("체력", F71)), '성장 시뮬레이터'!$M$8 &gt;= G71, FALSE)))))
    ), "O", "X")</f>
        <v>O</v>
      </c>
      <c r="N71" s="106" t="str">
        <f>IF(
    AND(
        H71="O",
        I71="O",
        IF(ISNUMBER(SEARCH("무력+지력", F71)), ('성장 시뮬레이터'!$O$5+'성장 시뮬레이터'!$O$6) &gt;= G71,
           IF(ISNUMBER(SEARCH("무력", F71)), '성장 시뮬레이터'!$O$5 &gt;= G71,
           IF(ISNUMBER(SEARCH("지력", F71)), '성장 시뮬레이터'!$O$6 &gt;= G71,
           IF(ISNUMBER(SEARCH("내력", F71)), '성장 시뮬레이터'!$O$7 &gt;= G71,
           IF(ISNUMBER(SEARCH("체력", F71)), '성장 시뮬레이터'!$O$8 &gt;= G71, FALSE)))))
    ), "O", "X")</f>
        <v>O</v>
      </c>
      <c r="O71" s="106" t="str">
        <f>IF(
    AND(
        H71="O",
        I71="O",
        IF(ISNUMBER(SEARCH("무력+지력", F71)), ('성장 시뮬레이터'!$Q$5+'성장 시뮬레이터'!$Q$6) &gt;= G71,
           IF(ISNUMBER(SEARCH("무력", F71)), '성장 시뮬레이터'!$Q$5 &gt;= G71,
           IF(ISNUMBER(SEARCH("지력", F71)), '성장 시뮬레이터'!$Q$6 &gt;= G71,
           IF(ISNUMBER(SEARCH("내력", F71)), '성장 시뮬레이터'!$Q$7 &gt;= G71,
           IF(ISNUMBER(SEARCH("체력", F71)), '성장 시뮬레이터'!$Q$8 &gt;= G71, FALSE)))))
    ), "O", "X")</f>
        <v>O</v>
      </c>
      <c r="P71" s="106" t="s">
        <v>904</v>
      </c>
      <c r="Q71" s="142" t="str">
        <f t="shared" si="12"/>
        <v/>
      </c>
      <c r="R71" s="142">
        <f t="shared" si="13"/>
        <v>260</v>
      </c>
      <c r="S71" s="142" t="str">
        <f t="shared" si="14"/>
        <v/>
      </c>
      <c r="T71" s="142" t="str">
        <f t="shared" si="15"/>
        <v/>
      </c>
      <c r="U71" s="142" t="str">
        <f t="shared" si="16"/>
        <v/>
      </c>
      <c r="V71" s="142" t="str">
        <f t="shared" si="17"/>
        <v/>
      </c>
      <c r="W71" s="142" t="str">
        <f t="shared" si="18"/>
        <v/>
      </c>
      <c r="X71" s="142" t="str">
        <f t="shared" si="19"/>
        <v/>
      </c>
      <c r="Y71" s="142">
        <f t="shared" si="20"/>
        <v>195</v>
      </c>
      <c r="Z71" s="142" t="str">
        <f t="shared" si="21"/>
        <v/>
      </c>
      <c r="AA71" s="9" t="s">
        <v>65</v>
      </c>
      <c r="AB71" s="9"/>
      <c r="AC71" s="9"/>
      <c r="AD71" s="9"/>
      <c r="AE71" s="10"/>
      <c r="AF71" s="143" t="s">
        <v>66</v>
      </c>
      <c r="AH71" s="8"/>
      <c r="AI71" s="8">
        <v>40</v>
      </c>
      <c r="AJ71" s="8"/>
      <c r="AK71" s="8"/>
      <c r="AL71" s="8"/>
      <c r="AM71" s="8"/>
      <c r="AN71" s="8"/>
      <c r="AO71" s="8"/>
      <c r="AP71" s="8">
        <v>30</v>
      </c>
      <c r="AQ71" s="8"/>
      <c r="AR71" s="103">
        <v>1.5</v>
      </c>
      <c r="AS71" s="8" t="str">
        <f>IF(OR(표1_3[[#This Row],[등급]]="명서",(표1_3[[#This Row],[등급]]="고급")),IF(AH71="","",AH71*$AR71),"")</f>
        <v/>
      </c>
      <c r="AT71" s="8">
        <f>IF(OR(표1_3[[#This Row],[등급]]="명서",(표1_3[[#This Row],[등급]]="고급")),IF(AI71="","",AI71*$AR71),"")</f>
        <v>60</v>
      </c>
      <c r="AU71" s="8" t="str">
        <f>IF(OR(표1_3[[#This Row],[등급]]="명서",(표1_3[[#This Row],[등급]]="고급")),IF(AJ71="","",AJ71*$AR71),"")</f>
        <v/>
      </c>
      <c r="AV71" s="8" t="str">
        <f>IF(OR(표1_3[[#This Row],[등급]]="명서",(표1_3[[#This Row],[등급]]="고급")),IF(AK71="","",AK71*$AR71),"")</f>
        <v/>
      </c>
      <c r="AW71" s="8" t="str">
        <f>IF(OR(표1_3[[#This Row],[등급]]="명서",(표1_3[[#This Row],[등급]]="고급")),IF(AL71="","",AL71*$AR71),"")</f>
        <v/>
      </c>
      <c r="AX71" s="8" t="str">
        <f>IF(OR(표1_3[[#This Row],[등급]]="명서",(표1_3[[#This Row],[등급]]="고급")),IF(AM71="","",AM71*$AR71),"")</f>
        <v/>
      </c>
      <c r="AY71" s="8" t="str">
        <f>IF(OR(표1_3[[#This Row],[등급]]="명서",(표1_3[[#This Row],[등급]]="고급")),IF(AN71="","",AN71*$AR71),"")</f>
        <v/>
      </c>
      <c r="AZ71" s="8" t="str">
        <f>IF(OR(표1_3[[#This Row],[등급]]="명서",(표1_3[[#This Row],[등급]]="고급")),IF(AO71="","",AO71*$AR71),"")</f>
        <v/>
      </c>
      <c r="BA71" s="8">
        <f>IF(OR(표1_3[[#This Row],[등급]]="명서",(표1_3[[#This Row],[등급]]="고급")),IF(AP71="","",AP71*$AR71),"")</f>
        <v>45</v>
      </c>
      <c r="BB71" s="8" t="str">
        <f>IF(OR(표1_3[[#This Row],[등급]]="명서",(표1_3[[#This Row],[등급]]="고급")),IF(AQ71="","",AQ71*$AR71),"")</f>
        <v/>
      </c>
    </row>
    <row r="72" spans="1:54" x14ac:dyDescent="0.3">
      <c r="A72" s="5" t="s">
        <v>114</v>
      </c>
      <c r="B72" s="6" t="s">
        <v>12</v>
      </c>
      <c r="C72" s="203" t="s">
        <v>799</v>
      </c>
      <c r="D72" s="7" t="s">
        <v>206</v>
      </c>
      <c r="E72" s="7">
        <f t="array" ref="E72">INDEX(표1[내 책 등급], MATCH(1, (표1[사용자] ='성장 시뮬레이터'!$B$1) * (표1[책이름] = D72), 0))</f>
        <v>10</v>
      </c>
      <c r="F72" s="6" t="s">
        <v>14</v>
      </c>
      <c r="G72" s="142">
        <v>85</v>
      </c>
      <c r="H72" s="8" t="str">
        <f>IF(ISNUMBER(SEARCH("여", F72)), IF('성장 시뮬레이터'!$C$9=2, "O", "X"), "O")</f>
        <v>O</v>
      </c>
      <c r="I72" s="8" t="str">
        <f>IF(OR(ISNUMBER(SEARCH("위나라", F72)), ISNUMBER(SEARCH("촉나라", F72)), ISNUMBER(SEARCH("오나라", F72)), ISNUMBER(SEARCH("군웅", F72))), IF(ISNUMBER(SEARCH('성장 시뮬레이터'!$C$10, F72)), "O", "X"), "O")</f>
        <v>O</v>
      </c>
      <c r="J72" s="8" t="str">
        <f>IF(
    AND(
        H72="O",
        I72="O",
        IF(ISNUMBER(SEARCH("무력+지력", F72)), ('성장 시뮬레이터'!$G$5+'성장 시뮬레이터'!$G$6) &gt;= G72,
           IF(ISNUMBER(SEARCH("무력", F72)), '성장 시뮬레이터'!$G$5 &gt;= G72,
           IF(ISNUMBER(SEARCH("지력", F72)), '성장 시뮬레이터'!$G$6 &gt;= G72,
           IF(ISNUMBER(SEARCH("내력", F72)), '성장 시뮬레이터'!$G$7 &gt;= G72,
           IF(ISNUMBER(SEARCH("체력", F72)), '성장 시뮬레이터'!$G$8 &gt;= G72, FALSE)))))
    ), "O", "X")</f>
        <v>O</v>
      </c>
      <c r="K72" s="106" t="str">
        <f>IF(
    AND(
        H72="O",
        I72="O",
        IF(ISNUMBER(SEARCH("무력+지력", F72)), ('성장 시뮬레이터'!$I$5+'성장 시뮬레이터'!$I$6) &gt;= G72,
           IF(ISNUMBER(SEARCH("무력", F72)), '성장 시뮬레이터'!$I$5 &gt;= G72,
           IF(ISNUMBER(SEARCH("지력", F72)), '성장 시뮬레이터'!$I$6 &gt;= G72,
           IF(ISNUMBER(SEARCH("내력", F72)), '성장 시뮬레이터'!$I$7 &gt;= G72,
           IF(ISNUMBER(SEARCH("체력", F72)), '성장 시뮬레이터'!$I$8 &gt;= G72, FALSE)))))
    ), "O", "X")</f>
        <v>O</v>
      </c>
      <c r="L72" s="106" t="str">
        <f>IF(
    AND(
        H72="O",
        I72="O",
        IF(ISNUMBER(SEARCH("무력+지력", F72)), ('성장 시뮬레이터'!$K$5+'성장 시뮬레이터'!$K$6) &gt;= G72,
           IF(ISNUMBER(SEARCH("무력", F72)), '성장 시뮬레이터'!$K$5 &gt;= G72,
           IF(ISNUMBER(SEARCH("지력", F72)), '성장 시뮬레이터'!$K$6 &gt;= G72,
           IF(ISNUMBER(SEARCH("내력", F72)), '성장 시뮬레이터'!$K$7 &gt;= G72,
           IF(ISNUMBER(SEARCH("체력", F72)), '성장 시뮬레이터'!$K$8 &gt;= G72, FALSE)))))
    ), "O", "X")</f>
        <v>O</v>
      </c>
      <c r="M72" s="106" t="str">
        <f>IF(
    AND(
        H72="O",
        I72="O",
        IF(ISNUMBER(SEARCH("무력+지력", F72)), ('성장 시뮬레이터'!$M$5+'성장 시뮬레이터'!$M$6) &gt;= G72,
           IF(ISNUMBER(SEARCH("무력", F72)), '성장 시뮬레이터'!$M$5 &gt;= G72,
           IF(ISNUMBER(SEARCH("지력", F72)), '성장 시뮬레이터'!$M$6 &gt;= G72,
           IF(ISNUMBER(SEARCH("내력", F72)), '성장 시뮬레이터'!$M$7 &gt;= G72,
           IF(ISNUMBER(SEARCH("체력", F72)), '성장 시뮬레이터'!$M$8 &gt;= G72, FALSE)))))
    ), "O", "X")</f>
        <v>O</v>
      </c>
      <c r="N72" s="106" t="str">
        <f>IF(
    AND(
        H72="O",
        I72="O",
        IF(ISNUMBER(SEARCH("무력+지력", F72)), ('성장 시뮬레이터'!$O$5+'성장 시뮬레이터'!$O$6) &gt;= G72,
           IF(ISNUMBER(SEARCH("무력", F72)), '성장 시뮬레이터'!$O$5 &gt;= G72,
           IF(ISNUMBER(SEARCH("지력", F72)), '성장 시뮬레이터'!$O$6 &gt;= G72,
           IF(ISNUMBER(SEARCH("내력", F72)), '성장 시뮬레이터'!$O$7 &gt;= G72,
           IF(ISNUMBER(SEARCH("체력", F72)), '성장 시뮬레이터'!$O$8 &gt;= G72, FALSE)))))
    ), "O", "X")</f>
        <v>O</v>
      </c>
      <c r="O72" s="106" t="str">
        <f>IF(
    AND(
        H72="O",
        I72="O",
        IF(ISNUMBER(SEARCH("무력+지력", F72)), ('성장 시뮬레이터'!$Q$5+'성장 시뮬레이터'!$Q$6) &gt;= G72,
           IF(ISNUMBER(SEARCH("무력", F72)), '성장 시뮬레이터'!$Q$5 &gt;= G72,
           IF(ISNUMBER(SEARCH("지력", F72)), '성장 시뮬레이터'!$Q$6 &gt;= G72,
           IF(ISNUMBER(SEARCH("내력", F72)), '성장 시뮬레이터'!$Q$7 &gt;= G72,
           IF(ISNUMBER(SEARCH("체력", F72)), '성장 시뮬레이터'!$Q$8 &gt;= G72, FALSE)))))
    ), "O", "X")</f>
        <v>O</v>
      </c>
      <c r="P72" s="106" t="s">
        <v>904</v>
      </c>
      <c r="Q72" s="142" t="str">
        <f t="shared" si="12"/>
        <v/>
      </c>
      <c r="R72" s="142">
        <f t="shared" si="13"/>
        <v>260</v>
      </c>
      <c r="S72" s="142">
        <f t="shared" si="14"/>
        <v>130</v>
      </c>
      <c r="T72" s="142">
        <f t="shared" si="15"/>
        <v>130</v>
      </c>
      <c r="U72" s="142" t="str">
        <f t="shared" si="16"/>
        <v/>
      </c>
      <c r="V72" s="142" t="str">
        <f t="shared" si="17"/>
        <v/>
      </c>
      <c r="W72" s="142" t="str">
        <f t="shared" si="18"/>
        <v/>
      </c>
      <c r="X72" s="142" t="str">
        <f t="shared" si="19"/>
        <v/>
      </c>
      <c r="Y72" s="142" t="str">
        <f t="shared" si="20"/>
        <v/>
      </c>
      <c r="Z72" s="142" t="str">
        <f t="shared" si="21"/>
        <v/>
      </c>
      <c r="AA72" s="9" t="s">
        <v>119</v>
      </c>
      <c r="AB72" s="9"/>
      <c r="AC72" s="9"/>
      <c r="AD72" s="9"/>
      <c r="AE72" s="10"/>
      <c r="AF72" s="143" t="s">
        <v>120</v>
      </c>
      <c r="AH72" s="8"/>
      <c r="AI72" s="8">
        <v>40</v>
      </c>
      <c r="AJ72" s="8">
        <v>20</v>
      </c>
      <c r="AK72" s="8">
        <v>20</v>
      </c>
      <c r="AL72" s="8"/>
      <c r="AM72" s="8"/>
      <c r="AN72" s="8"/>
      <c r="AO72" s="8"/>
      <c r="AP72" s="8"/>
      <c r="AQ72" s="8"/>
      <c r="AR72" s="103">
        <v>1.5</v>
      </c>
      <c r="AS72" s="8" t="str">
        <f>IF(OR(표1_3[[#This Row],[등급]]="명서",(표1_3[[#This Row],[등급]]="고급")),IF(AH72="","",AH72*$AR72),"")</f>
        <v/>
      </c>
      <c r="AT72" s="8">
        <f>IF(OR(표1_3[[#This Row],[등급]]="명서",(표1_3[[#This Row],[등급]]="고급")),IF(AI72="","",AI72*$AR72),"")</f>
        <v>60</v>
      </c>
      <c r="AU72" s="8">
        <f>IF(OR(표1_3[[#This Row],[등급]]="명서",(표1_3[[#This Row],[등급]]="고급")),IF(AJ72="","",AJ72*$AR72),"")</f>
        <v>30</v>
      </c>
      <c r="AV72" s="8">
        <f>IF(OR(표1_3[[#This Row],[등급]]="명서",(표1_3[[#This Row],[등급]]="고급")),IF(AK72="","",AK72*$AR72),"")</f>
        <v>30</v>
      </c>
      <c r="AW72" s="8" t="str">
        <f>IF(OR(표1_3[[#This Row],[등급]]="명서",(표1_3[[#This Row],[등급]]="고급")),IF(AL72="","",AL72*$AR72),"")</f>
        <v/>
      </c>
      <c r="AX72" s="8" t="str">
        <f>IF(OR(표1_3[[#This Row],[등급]]="명서",(표1_3[[#This Row],[등급]]="고급")),IF(AM72="","",AM72*$AR72),"")</f>
        <v/>
      </c>
      <c r="AY72" s="8" t="str">
        <f>IF(OR(표1_3[[#This Row],[등급]]="명서",(표1_3[[#This Row],[등급]]="고급")),IF(AN72="","",AN72*$AR72),"")</f>
        <v/>
      </c>
      <c r="AZ72" s="8" t="str">
        <f>IF(OR(표1_3[[#This Row],[등급]]="명서",(표1_3[[#This Row],[등급]]="고급")),IF(AO72="","",AO72*$AR72),"")</f>
        <v/>
      </c>
      <c r="BA72" s="8" t="str">
        <f>IF(OR(표1_3[[#This Row],[등급]]="명서",(표1_3[[#This Row],[등급]]="고급")),IF(AP72="","",AP72*$AR72),"")</f>
        <v/>
      </c>
      <c r="BB72" s="8" t="str">
        <f>IF(OR(표1_3[[#This Row],[등급]]="명서",(표1_3[[#This Row],[등급]]="고급")),IF(AQ72="","",AQ72*$AR72),"")</f>
        <v/>
      </c>
    </row>
    <row r="73" spans="1:54" x14ac:dyDescent="0.3">
      <c r="A73" s="5" t="s">
        <v>114</v>
      </c>
      <c r="B73" s="6" t="s">
        <v>12</v>
      </c>
      <c r="C73" s="203" t="s">
        <v>799</v>
      </c>
      <c r="D73" s="7" t="s">
        <v>121</v>
      </c>
      <c r="E73" s="7">
        <f t="array" ref="E73">INDEX(표1[내 책 등급], MATCH(1, (표1[사용자] ='성장 시뮬레이터'!$B$1) * (표1[책이름] = D73), 0))</f>
        <v>10</v>
      </c>
      <c r="F73" s="6" t="s">
        <v>30</v>
      </c>
      <c r="G73" s="142">
        <v>114</v>
      </c>
      <c r="H73" s="8" t="str">
        <f>IF(ISNUMBER(SEARCH("여", F73)), IF('성장 시뮬레이터'!$C$9=2, "O", "X"), "O")</f>
        <v>O</v>
      </c>
      <c r="I73" s="8" t="str">
        <f>IF(OR(ISNUMBER(SEARCH("위나라", F73)), ISNUMBER(SEARCH("촉나라", F73)), ISNUMBER(SEARCH("오나라", F73)), ISNUMBER(SEARCH("군웅", F73))), IF(ISNUMBER(SEARCH('성장 시뮬레이터'!$C$10, F73)), "O", "X"), "O")</f>
        <v>O</v>
      </c>
      <c r="J73" s="8" t="str">
        <f>IF(
    AND(
        H73="O",
        I73="O",
        IF(ISNUMBER(SEARCH("무력+지력", F73)), ('성장 시뮬레이터'!$G$5+'성장 시뮬레이터'!$G$6) &gt;= G73,
           IF(ISNUMBER(SEARCH("무력", F73)), '성장 시뮬레이터'!$G$5 &gt;= G73,
           IF(ISNUMBER(SEARCH("지력", F73)), '성장 시뮬레이터'!$G$6 &gt;= G73,
           IF(ISNUMBER(SEARCH("내력", F73)), '성장 시뮬레이터'!$G$7 &gt;= G73,
           IF(ISNUMBER(SEARCH("체력", F73)), '성장 시뮬레이터'!$G$8 &gt;= G73, FALSE)))))
    ), "O", "X")</f>
        <v>X</v>
      </c>
      <c r="K73" s="106" t="str">
        <f>IF(
    AND(
        H73="O",
        I73="O",
        IF(ISNUMBER(SEARCH("무력+지력", F73)), ('성장 시뮬레이터'!$I$5+'성장 시뮬레이터'!$I$6) &gt;= G73,
           IF(ISNUMBER(SEARCH("무력", F73)), '성장 시뮬레이터'!$I$5 &gt;= G73,
           IF(ISNUMBER(SEARCH("지력", F73)), '성장 시뮬레이터'!$I$6 &gt;= G73,
           IF(ISNUMBER(SEARCH("내력", F73)), '성장 시뮬레이터'!$I$7 &gt;= G73,
           IF(ISNUMBER(SEARCH("체력", F73)), '성장 시뮬레이터'!$I$8 &gt;= G73, FALSE)))))
    ), "O", "X")</f>
        <v>O</v>
      </c>
      <c r="L73" s="106" t="str">
        <f>IF(
    AND(
        H73="O",
        I73="O",
        IF(ISNUMBER(SEARCH("무력+지력", F73)), ('성장 시뮬레이터'!$K$5+'성장 시뮬레이터'!$K$6) &gt;= G73,
           IF(ISNUMBER(SEARCH("무력", F73)), '성장 시뮬레이터'!$K$5 &gt;= G73,
           IF(ISNUMBER(SEARCH("지력", F73)), '성장 시뮬레이터'!$K$6 &gt;= G73,
           IF(ISNUMBER(SEARCH("내력", F73)), '성장 시뮬레이터'!$K$7 &gt;= G73,
           IF(ISNUMBER(SEARCH("체력", F73)), '성장 시뮬레이터'!$K$8 &gt;= G73, FALSE)))))
    ), "O", "X")</f>
        <v>O</v>
      </c>
      <c r="M73" s="106" t="str">
        <f>IF(
    AND(
        H73="O",
        I73="O",
        IF(ISNUMBER(SEARCH("무력+지력", F73)), ('성장 시뮬레이터'!$M$5+'성장 시뮬레이터'!$M$6) &gt;= G73,
           IF(ISNUMBER(SEARCH("무력", F73)), '성장 시뮬레이터'!$M$5 &gt;= G73,
           IF(ISNUMBER(SEARCH("지력", F73)), '성장 시뮬레이터'!$M$6 &gt;= G73,
           IF(ISNUMBER(SEARCH("내력", F73)), '성장 시뮬레이터'!$M$7 &gt;= G73,
           IF(ISNUMBER(SEARCH("체력", F73)), '성장 시뮬레이터'!$M$8 &gt;= G73, FALSE)))))
    ), "O", "X")</f>
        <v>O</v>
      </c>
      <c r="N73" s="106" t="str">
        <f>IF(
    AND(
        H73="O",
        I73="O",
        IF(ISNUMBER(SEARCH("무력+지력", F73)), ('성장 시뮬레이터'!$O$5+'성장 시뮬레이터'!$O$6) &gt;= G73,
           IF(ISNUMBER(SEARCH("무력", F73)), '성장 시뮬레이터'!$O$5 &gt;= G73,
           IF(ISNUMBER(SEARCH("지력", F73)), '성장 시뮬레이터'!$O$6 &gt;= G73,
           IF(ISNUMBER(SEARCH("내력", F73)), '성장 시뮬레이터'!$O$7 &gt;= G73,
           IF(ISNUMBER(SEARCH("체력", F73)), '성장 시뮬레이터'!$O$8 &gt;= G73, FALSE)))))
    ), "O", "X")</f>
        <v>O</v>
      </c>
      <c r="O73" s="106" t="str">
        <f>IF(
    AND(
        H73="O",
        I73="O",
        IF(ISNUMBER(SEARCH("무력+지력", F73)), ('성장 시뮬레이터'!$Q$5+'성장 시뮬레이터'!$Q$6) &gt;= G73,
           IF(ISNUMBER(SEARCH("무력", F73)), '성장 시뮬레이터'!$Q$5 &gt;= G73,
           IF(ISNUMBER(SEARCH("지력", F73)), '성장 시뮬레이터'!$Q$6 &gt;= G73,
           IF(ISNUMBER(SEARCH("내력", F73)), '성장 시뮬레이터'!$Q$7 &gt;= G73,
           IF(ISNUMBER(SEARCH("체력", F73)), '성장 시뮬레이터'!$Q$8 &gt;= G73, FALSE)))))
    ), "O", "X")</f>
        <v>O</v>
      </c>
      <c r="P73" s="106" t="s">
        <v>904</v>
      </c>
      <c r="Q73" s="142" t="str">
        <f t="shared" si="12"/>
        <v/>
      </c>
      <c r="R73" s="142">
        <f t="shared" si="13"/>
        <v>390</v>
      </c>
      <c r="S73" s="142">
        <f t="shared" si="14"/>
        <v>130</v>
      </c>
      <c r="T73" s="142" t="str">
        <f t="shared" si="15"/>
        <v/>
      </c>
      <c r="U73" s="142" t="str">
        <f t="shared" si="16"/>
        <v/>
      </c>
      <c r="V73" s="142" t="str">
        <f t="shared" si="17"/>
        <v/>
      </c>
      <c r="W73" s="142" t="str">
        <f t="shared" si="18"/>
        <v/>
      </c>
      <c r="X73" s="142" t="str">
        <f t="shared" si="19"/>
        <v/>
      </c>
      <c r="Y73" s="142" t="str">
        <f t="shared" si="20"/>
        <v/>
      </c>
      <c r="Z73" s="142" t="str">
        <f t="shared" si="21"/>
        <v/>
      </c>
      <c r="AA73" s="11" t="s">
        <v>122</v>
      </c>
      <c r="AB73" s="11"/>
      <c r="AC73" s="11"/>
      <c r="AD73" s="11"/>
      <c r="AE73" s="12"/>
      <c r="AF73" s="144" t="s">
        <v>123</v>
      </c>
      <c r="AH73" s="8"/>
      <c r="AI73" s="8">
        <v>60</v>
      </c>
      <c r="AJ73" s="8">
        <v>20</v>
      </c>
      <c r="AK73" s="8"/>
      <c r="AL73" s="8"/>
      <c r="AM73" s="8"/>
      <c r="AN73" s="8"/>
      <c r="AO73" s="8"/>
      <c r="AP73" s="8"/>
      <c r="AQ73" s="8"/>
      <c r="AR73" s="103">
        <v>1.5</v>
      </c>
      <c r="AS73" s="8" t="str">
        <f>IF(OR(표1_3[[#This Row],[등급]]="명서",(표1_3[[#This Row],[등급]]="고급")),IF(AH73="","",AH73*$AR73),"")</f>
        <v/>
      </c>
      <c r="AT73" s="8">
        <f>IF(OR(표1_3[[#This Row],[등급]]="명서",(표1_3[[#This Row],[등급]]="고급")),IF(AI73="","",AI73*$AR73),"")</f>
        <v>90</v>
      </c>
      <c r="AU73" s="8">
        <f>IF(OR(표1_3[[#This Row],[등급]]="명서",(표1_3[[#This Row],[등급]]="고급")),IF(AJ73="","",AJ73*$AR73),"")</f>
        <v>30</v>
      </c>
      <c r="AV73" s="8" t="str">
        <f>IF(OR(표1_3[[#This Row],[등급]]="명서",(표1_3[[#This Row],[등급]]="고급")),IF(AK73="","",AK73*$AR73),"")</f>
        <v/>
      </c>
      <c r="AW73" s="8" t="str">
        <f>IF(OR(표1_3[[#This Row],[등급]]="명서",(표1_3[[#This Row],[등급]]="고급")),IF(AL73="","",AL73*$AR73),"")</f>
        <v/>
      </c>
      <c r="AX73" s="8" t="str">
        <f>IF(OR(표1_3[[#This Row],[등급]]="명서",(표1_3[[#This Row],[등급]]="고급")),IF(AM73="","",AM73*$AR73),"")</f>
        <v/>
      </c>
      <c r="AY73" s="8" t="str">
        <f>IF(OR(표1_3[[#This Row],[등급]]="명서",(표1_3[[#This Row],[등급]]="고급")),IF(AN73="","",AN73*$AR73),"")</f>
        <v/>
      </c>
      <c r="AZ73" s="8" t="str">
        <f>IF(OR(표1_3[[#This Row],[등급]]="명서",(표1_3[[#This Row],[등급]]="고급")),IF(AO73="","",AO73*$AR73),"")</f>
        <v/>
      </c>
      <c r="BA73" s="8" t="str">
        <f>IF(OR(표1_3[[#This Row],[등급]]="명서",(표1_3[[#This Row],[등급]]="고급")),IF(AP73="","",AP73*$AR73),"")</f>
        <v/>
      </c>
      <c r="BB73" s="8" t="str">
        <f>IF(OR(표1_3[[#This Row],[등급]]="명서",(표1_3[[#This Row],[등급]]="고급")),IF(AQ73="","",AQ73*$AR73),"")</f>
        <v/>
      </c>
    </row>
    <row r="74" spans="1:54" x14ac:dyDescent="0.3">
      <c r="A74" s="5" t="s">
        <v>114</v>
      </c>
      <c r="B74" s="6" t="s">
        <v>12</v>
      </c>
      <c r="C74" s="203" t="s">
        <v>799</v>
      </c>
      <c r="D74" s="7" t="s">
        <v>124</v>
      </c>
      <c r="E74" s="7">
        <f t="array" ref="E74">INDEX(표1[내 책 등급], MATCH(1, (표1[사용자] ='성장 시뮬레이터'!$B$1) * (표1[책이름] = D74), 0))</f>
        <v>10</v>
      </c>
      <c r="F74" s="6" t="s">
        <v>21</v>
      </c>
      <c r="G74" s="142">
        <v>104</v>
      </c>
      <c r="H74" s="8" t="str">
        <f>IF(ISNUMBER(SEARCH("여", F74)), IF('성장 시뮬레이터'!$C$9=2, "O", "X"), "O")</f>
        <v>O</v>
      </c>
      <c r="I74" s="8" t="str">
        <f>IF(OR(ISNUMBER(SEARCH("위나라", F74)), ISNUMBER(SEARCH("촉나라", F74)), ISNUMBER(SEARCH("오나라", F74)), ISNUMBER(SEARCH("군웅", F74))), IF(ISNUMBER(SEARCH('성장 시뮬레이터'!$C$10, F74)), "O", "X"), "O")</f>
        <v>O</v>
      </c>
      <c r="J74" s="8" t="str">
        <f>IF(
    AND(
        H74="O",
        I74="O",
        IF(ISNUMBER(SEARCH("무력+지력", F74)), ('성장 시뮬레이터'!$G$5+'성장 시뮬레이터'!$G$6) &gt;= G74,
           IF(ISNUMBER(SEARCH("무력", F74)), '성장 시뮬레이터'!$G$5 &gt;= G74,
           IF(ISNUMBER(SEARCH("지력", F74)), '성장 시뮬레이터'!$G$6 &gt;= G74,
           IF(ISNUMBER(SEARCH("내력", F74)), '성장 시뮬레이터'!$G$7 &gt;= G74,
           IF(ISNUMBER(SEARCH("체력", F74)), '성장 시뮬레이터'!$G$8 &gt;= G74, FALSE)))))
    ), "O", "X")</f>
        <v>X</v>
      </c>
      <c r="K74" s="106" t="str">
        <f>IF(
    AND(
        H74="O",
        I74="O",
        IF(ISNUMBER(SEARCH("무력+지력", F74)), ('성장 시뮬레이터'!$I$5+'성장 시뮬레이터'!$I$6) &gt;= G74,
           IF(ISNUMBER(SEARCH("무력", F74)), '성장 시뮬레이터'!$I$5 &gt;= G74,
           IF(ISNUMBER(SEARCH("지력", F74)), '성장 시뮬레이터'!$I$6 &gt;= G74,
           IF(ISNUMBER(SEARCH("내력", F74)), '성장 시뮬레이터'!$I$7 &gt;= G74,
           IF(ISNUMBER(SEARCH("체력", F74)), '성장 시뮬레이터'!$I$8 &gt;= G74, FALSE)))))
    ), "O", "X")</f>
        <v>X</v>
      </c>
      <c r="L74" s="106" t="str">
        <f>IF(
    AND(
        H74="O",
        I74="O",
        IF(ISNUMBER(SEARCH("무력+지력", F74)), ('성장 시뮬레이터'!$K$5+'성장 시뮬레이터'!$K$6) &gt;= G74,
           IF(ISNUMBER(SEARCH("무력", F74)), '성장 시뮬레이터'!$K$5 &gt;= G74,
           IF(ISNUMBER(SEARCH("지력", F74)), '성장 시뮬레이터'!$K$6 &gt;= G74,
           IF(ISNUMBER(SEARCH("내력", F74)), '성장 시뮬레이터'!$K$7 &gt;= G74,
           IF(ISNUMBER(SEARCH("체력", F74)), '성장 시뮬레이터'!$K$8 &gt;= G74, FALSE)))))
    ), "O", "X")</f>
        <v>X</v>
      </c>
      <c r="M74" s="106" t="str">
        <f>IF(
    AND(
        H74="O",
        I74="O",
        IF(ISNUMBER(SEARCH("무력+지력", F74)), ('성장 시뮬레이터'!$M$5+'성장 시뮬레이터'!$M$6) &gt;= G74,
           IF(ISNUMBER(SEARCH("무력", F74)), '성장 시뮬레이터'!$M$5 &gt;= G74,
           IF(ISNUMBER(SEARCH("지력", F74)), '성장 시뮬레이터'!$M$6 &gt;= G74,
           IF(ISNUMBER(SEARCH("내력", F74)), '성장 시뮬레이터'!$M$7 &gt;= G74,
           IF(ISNUMBER(SEARCH("체력", F74)), '성장 시뮬레이터'!$M$8 &gt;= G74, FALSE)))))
    ), "O", "X")</f>
        <v>X</v>
      </c>
      <c r="N74" s="106" t="str">
        <f>IF(
    AND(
        H74="O",
        I74="O",
        IF(ISNUMBER(SEARCH("무력+지력", F74)), ('성장 시뮬레이터'!$O$5+'성장 시뮬레이터'!$O$6) &gt;= G74,
           IF(ISNUMBER(SEARCH("무력", F74)), '성장 시뮬레이터'!$O$5 &gt;= G74,
           IF(ISNUMBER(SEARCH("지력", F74)), '성장 시뮬레이터'!$O$6 &gt;= G74,
           IF(ISNUMBER(SEARCH("내력", F74)), '성장 시뮬레이터'!$O$7 &gt;= G74,
           IF(ISNUMBER(SEARCH("체력", F74)), '성장 시뮬레이터'!$O$8 &gt;= G74, FALSE)))))
    ), "O", "X")</f>
        <v>X</v>
      </c>
      <c r="O74" s="106" t="str">
        <f>IF(
    AND(
        H74="O",
        I74="O",
        IF(ISNUMBER(SEARCH("무력+지력", F74)), ('성장 시뮬레이터'!$Q$5+'성장 시뮬레이터'!$Q$6) &gt;= G74,
           IF(ISNUMBER(SEARCH("무력", F74)), '성장 시뮬레이터'!$Q$5 &gt;= G74,
           IF(ISNUMBER(SEARCH("지력", F74)), '성장 시뮬레이터'!$Q$6 &gt;= G74,
           IF(ISNUMBER(SEARCH("내력", F74)), '성장 시뮬레이터'!$Q$7 &gt;= G74,
           IF(ISNUMBER(SEARCH("체력", F74)), '성장 시뮬레이터'!$Q$8 &gt;= G74, FALSE)))))
    ), "O", "X")</f>
        <v>X</v>
      </c>
      <c r="P74" s="106" t="s">
        <v>905</v>
      </c>
      <c r="Q74" s="142">
        <f t="shared" si="12"/>
        <v>260</v>
      </c>
      <c r="R74" s="142" t="str">
        <f t="shared" si="13"/>
        <v/>
      </c>
      <c r="S74" s="142">
        <f t="shared" si="14"/>
        <v>130</v>
      </c>
      <c r="T74" s="142" t="str">
        <f t="shared" si="15"/>
        <v/>
      </c>
      <c r="U74" s="142" t="str">
        <f t="shared" si="16"/>
        <v/>
      </c>
      <c r="V74" s="142">
        <f t="shared" si="17"/>
        <v>130</v>
      </c>
      <c r="W74" s="142" t="str">
        <f t="shared" si="18"/>
        <v/>
      </c>
      <c r="X74" s="142" t="str">
        <f t="shared" si="19"/>
        <v/>
      </c>
      <c r="Y74" s="142" t="str">
        <f t="shared" si="20"/>
        <v/>
      </c>
      <c r="Z74" s="142" t="str">
        <f t="shared" si="21"/>
        <v/>
      </c>
      <c r="AA74" s="11" t="s">
        <v>125</v>
      </c>
      <c r="AB74" s="11"/>
      <c r="AC74" s="11"/>
      <c r="AD74" s="11"/>
      <c r="AE74" s="12"/>
      <c r="AF74" s="144" t="s">
        <v>126</v>
      </c>
      <c r="AH74" s="8">
        <v>40</v>
      </c>
      <c r="AI74" s="8"/>
      <c r="AJ74" s="8">
        <v>20</v>
      </c>
      <c r="AK74" s="8"/>
      <c r="AL74" s="8"/>
      <c r="AM74" s="8">
        <v>20</v>
      </c>
      <c r="AN74" s="8"/>
      <c r="AO74" s="8"/>
      <c r="AP74" s="8"/>
      <c r="AQ74" s="8"/>
      <c r="AR74" s="103">
        <v>1.5</v>
      </c>
      <c r="AS74" s="8">
        <f>IF(OR(표1_3[[#This Row],[등급]]="명서",(표1_3[[#This Row],[등급]]="고급")),IF(AH74="","",AH74*$AR74),"")</f>
        <v>60</v>
      </c>
      <c r="AT74" s="8" t="str">
        <f>IF(OR(표1_3[[#This Row],[등급]]="명서",(표1_3[[#This Row],[등급]]="고급")),IF(AI74="","",AI74*$AR74),"")</f>
        <v/>
      </c>
      <c r="AU74" s="8">
        <f>IF(OR(표1_3[[#This Row],[등급]]="명서",(표1_3[[#This Row],[등급]]="고급")),IF(AJ74="","",AJ74*$AR74),"")</f>
        <v>30</v>
      </c>
      <c r="AV74" s="8" t="str">
        <f>IF(OR(표1_3[[#This Row],[등급]]="명서",(표1_3[[#This Row],[등급]]="고급")),IF(AK74="","",AK74*$AR74),"")</f>
        <v/>
      </c>
      <c r="AW74" s="8" t="str">
        <f>IF(OR(표1_3[[#This Row],[등급]]="명서",(표1_3[[#This Row],[등급]]="고급")),IF(AL74="","",AL74*$AR74),"")</f>
        <v/>
      </c>
      <c r="AX74" s="8">
        <f>IF(OR(표1_3[[#This Row],[등급]]="명서",(표1_3[[#This Row],[등급]]="고급")),IF(AM74="","",AM74*$AR74),"")</f>
        <v>30</v>
      </c>
      <c r="AY74" s="8" t="str">
        <f>IF(OR(표1_3[[#This Row],[등급]]="명서",(표1_3[[#This Row],[등급]]="고급")),IF(AN74="","",AN74*$AR74),"")</f>
        <v/>
      </c>
      <c r="AZ74" s="8" t="str">
        <f>IF(OR(표1_3[[#This Row],[등급]]="명서",(표1_3[[#This Row],[등급]]="고급")),IF(AO74="","",AO74*$AR74),"")</f>
        <v/>
      </c>
      <c r="BA74" s="8" t="str">
        <f>IF(OR(표1_3[[#This Row],[등급]]="명서",(표1_3[[#This Row],[등급]]="고급")),IF(AP74="","",AP74*$AR74),"")</f>
        <v/>
      </c>
      <c r="BB74" s="8" t="str">
        <f>IF(OR(표1_3[[#This Row],[등급]]="명서",(표1_3[[#This Row],[등급]]="고급")),IF(AQ74="","",AQ74*$AR74),"")</f>
        <v/>
      </c>
    </row>
    <row r="75" spans="1:54" x14ac:dyDescent="0.3">
      <c r="A75" s="5" t="s">
        <v>114</v>
      </c>
      <c r="B75" s="6" t="s">
        <v>12</v>
      </c>
      <c r="C75" s="203" t="s">
        <v>799</v>
      </c>
      <c r="D75" s="7" t="s">
        <v>127</v>
      </c>
      <c r="E75" s="7">
        <f t="array" ref="E75">INDEX(표1[내 책 등급], MATCH(1, (표1[사용자] ='성장 시뮬레이터'!$B$1) * (표1[책이름] = D75), 0))</f>
        <v>10</v>
      </c>
      <c r="F75" s="6" t="s">
        <v>14</v>
      </c>
      <c r="G75" s="142">
        <v>98</v>
      </c>
      <c r="H75" s="8" t="str">
        <f>IF(ISNUMBER(SEARCH("여", F75)), IF('성장 시뮬레이터'!$C$9=2, "O", "X"), "O")</f>
        <v>O</v>
      </c>
      <c r="I75" s="8" t="str">
        <f>IF(OR(ISNUMBER(SEARCH("위나라", F75)), ISNUMBER(SEARCH("촉나라", F75)), ISNUMBER(SEARCH("오나라", F75)), ISNUMBER(SEARCH("군웅", F75))), IF(ISNUMBER(SEARCH('성장 시뮬레이터'!$C$10, F75)), "O", "X"), "O")</f>
        <v>O</v>
      </c>
      <c r="J75" s="8" t="str">
        <f>IF(
    AND(
        H75="O",
        I75="O",
        IF(ISNUMBER(SEARCH("무력+지력", F75)), ('성장 시뮬레이터'!$G$5+'성장 시뮬레이터'!$G$6) &gt;= G75,
           IF(ISNUMBER(SEARCH("무력", F75)), '성장 시뮬레이터'!$G$5 &gt;= G75,
           IF(ISNUMBER(SEARCH("지력", F75)), '성장 시뮬레이터'!$G$6 &gt;= G75,
           IF(ISNUMBER(SEARCH("내력", F75)), '성장 시뮬레이터'!$G$7 &gt;= G75,
           IF(ISNUMBER(SEARCH("체력", F75)), '성장 시뮬레이터'!$G$8 &gt;= G75, FALSE)))))
    ), "O", "X")</f>
        <v>O</v>
      </c>
      <c r="K75" s="106" t="str">
        <f>IF(
    AND(
        H75="O",
        I75="O",
        IF(ISNUMBER(SEARCH("무력+지력", F75)), ('성장 시뮬레이터'!$I$5+'성장 시뮬레이터'!$I$6) &gt;= G75,
           IF(ISNUMBER(SEARCH("무력", F75)), '성장 시뮬레이터'!$I$5 &gt;= G75,
           IF(ISNUMBER(SEARCH("지력", F75)), '성장 시뮬레이터'!$I$6 &gt;= G75,
           IF(ISNUMBER(SEARCH("내력", F75)), '성장 시뮬레이터'!$I$7 &gt;= G75,
           IF(ISNUMBER(SEARCH("체력", F75)), '성장 시뮬레이터'!$I$8 &gt;= G75, FALSE)))))
    ), "O", "X")</f>
        <v>O</v>
      </c>
      <c r="L75" s="106" t="str">
        <f>IF(
    AND(
        H75="O",
        I75="O",
        IF(ISNUMBER(SEARCH("무력+지력", F75)), ('성장 시뮬레이터'!$K$5+'성장 시뮬레이터'!$K$6) &gt;= G75,
           IF(ISNUMBER(SEARCH("무력", F75)), '성장 시뮬레이터'!$K$5 &gt;= G75,
           IF(ISNUMBER(SEARCH("지력", F75)), '성장 시뮬레이터'!$K$6 &gt;= G75,
           IF(ISNUMBER(SEARCH("내력", F75)), '성장 시뮬레이터'!$K$7 &gt;= G75,
           IF(ISNUMBER(SEARCH("체력", F75)), '성장 시뮬레이터'!$K$8 &gt;= G75, FALSE)))))
    ), "O", "X")</f>
        <v>O</v>
      </c>
      <c r="M75" s="106" t="str">
        <f>IF(
    AND(
        H75="O",
        I75="O",
        IF(ISNUMBER(SEARCH("무력+지력", F75)), ('성장 시뮬레이터'!$M$5+'성장 시뮬레이터'!$M$6) &gt;= G75,
           IF(ISNUMBER(SEARCH("무력", F75)), '성장 시뮬레이터'!$M$5 &gt;= G75,
           IF(ISNUMBER(SEARCH("지력", F75)), '성장 시뮬레이터'!$M$6 &gt;= G75,
           IF(ISNUMBER(SEARCH("내력", F75)), '성장 시뮬레이터'!$M$7 &gt;= G75,
           IF(ISNUMBER(SEARCH("체력", F75)), '성장 시뮬레이터'!$M$8 &gt;= G75, FALSE)))))
    ), "O", "X")</f>
        <v>O</v>
      </c>
      <c r="N75" s="106" t="str">
        <f>IF(
    AND(
        H75="O",
        I75="O",
        IF(ISNUMBER(SEARCH("무력+지력", F75)), ('성장 시뮬레이터'!$O$5+'성장 시뮬레이터'!$O$6) &gt;= G75,
           IF(ISNUMBER(SEARCH("무력", F75)), '성장 시뮬레이터'!$O$5 &gt;= G75,
           IF(ISNUMBER(SEARCH("지력", F75)), '성장 시뮬레이터'!$O$6 &gt;= G75,
           IF(ISNUMBER(SEARCH("내력", F75)), '성장 시뮬레이터'!$O$7 &gt;= G75,
           IF(ISNUMBER(SEARCH("체력", F75)), '성장 시뮬레이터'!$O$8 &gt;= G75, FALSE)))))
    ), "O", "X")</f>
        <v>O</v>
      </c>
      <c r="O75" s="106" t="str">
        <f>IF(
    AND(
        H75="O",
        I75="O",
        IF(ISNUMBER(SEARCH("무력+지력", F75)), ('성장 시뮬레이터'!$Q$5+'성장 시뮬레이터'!$Q$6) &gt;= G75,
           IF(ISNUMBER(SEARCH("무력", F75)), '성장 시뮬레이터'!$Q$5 &gt;= G75,
           IF(ISNUMBER(SEARCH("지력", F75)), '성장 시뮬레이터'!$Q$6 &gt;= G75,
           IF(ISNUMBER(SEARCH("내력", F75)), '성장 시뮬레이터'!$Q$7 &gt;= G75,
           IF(ISNUMBER(SEARCH("체력", F75)), '성장 시뮬레이터'!$Q$8 &gt;= G75, FALSE)))))
    ), "O", "X")</f>
        <v>O</v>
      </c>
      <c r="P75" s="106" t="s">
        <v>904</v>
      </c>
      <c r="Q75" s="142">
        <f t="shared" si="12"/>
        <v>260</v>
      </c>
      <c r="R75" s="142" t="str">
        <f t="shared" si="13"/>
        <v/>
      </c>
      <c r="S75" s="142" t="str">
        <f t="shared" si="14"/>
        <v/>
      </c>
      <c r="T75" s="142" t="str">
        <f t="shared" si="15"/>
        <v/>
      </c>
      <c r="U75" s="142">
        <f t="shared" si="16"/>
        <v>130</v>
      </c>
      <c r="V75" s="142" t="str">
        <f t="shared" si="17"/>
        <v/>
      </c>
      <c r="W75" s="142" t="str">
        <f t="shared" si="18"/>
        <v/>
      </c>
      <c r="X75" s="142" t="str">
        <f t="shared" si="19"/>
        <v/>
      </c>
      <c r="Y75" s="142" t="str">
        <f t="shared" si="20"/>
        <v/>
      </c>
      <c r="Z75" s="142" t="str">
        <f t="shared" si="21"/>
        <v/>
      </c>
      <c r="AA75" s="9" t="s">
        <v>128</v>
      </c>
      <c r="AB75" s="9"/>
      <c r="AC75" s="9"/>
      <c r="AD75" s="9"/>
      <c r="AE75" s="10"/>
      <c r="AF75" s="143" t="s">
        <v>129</v>
      </c>
      <c r="AH75" s="8">
        <v>40</v>
      </c>
      <c r="AI75" s="8"/>
      <c r="AJ75" s="8"/>
      <c r="AK75" s="8"/>
      <c r="AL75" s="8">
        <v>20</v>
      </c>
      <c r="AM75" s="8"/>
      <c r="AN75" s="8"/>
      <c r="AO75" s="8"/>
      <c r="AP75" s="8"/>
      <c r="AQ75" s="8"/>
      <c r="AR75" s="103">
        <v>1.5</v>
      </c>
      <c r="AS75" s="8">
        <f>IF(OR(표1_3[[#This Row],[등급]]="명서",(표1_3[[#This Row],[등급]]="고급")),IF(AH75="","",AH75*$AR75),"")</f>
        <v>60</v>
      </c>
      <c r="AT75" s="8" t="str">
        <f>IF(OR(표1_3[[#This Row],[등급]]="명서",(표1_3[[#This Row],[등급]]="고급")),IF(AI75="","",AI75*$AR75),"")</f>
        <v/>
      </c>
      <c r="AU75" s="8" t="str">
        <f>IF(OR(표1_3[[#This Row],[등급]]="명서",(표1_3[[#This Row],[등급]]="고급")),IF(AJ75="","",AJ75*$AR75),"")</f>
        <v/>
      </c>
      <c r="AV75" s="8" t="str">
        <f>IF(OR(표1_3[[#This Row],[등급]]="명서",(표1_3[[#This Row],[등급]]="고급")),IF(AK75="","",AK75*$AR75),"")</f>
        <v/>
      </c>
      <c r="AW75" s="8">
        <f>IF(OR(표1_3[[#This Row],[등급]]="명서",(표1_3[[#This Row],[등급]]="고급")),IF(AL75="","",AL75*$AR75),"")</f>
        <v>30</v>
      </c>
      <c r="AX75" s="8" t="str">
        <f>IF(OR(표1_3[[#This Row],[등급]]="명서",(표1_3[[#This Row],[등급]]="고급")),IF(AM75="","",AM75*$AR75),"")</f>
        <v/>
      </c>
      <c r="AY75" s="8" t="str">
        <f>IF(OR(표1_3[[#This Row],[등급]]="명서",(표1_3[[#This Row],[등급]]="고급")),IF(AN75="","",AN75*$AR75),"")</f>
        <v/>
      </c>
      <c r="AZ75" s="8" t="str">
        <f>IF(OR(표1_3[[#This Row],[등급]]="명서",(표1_3[[#This Row],[등급]]="고급")),IF(AO75="","",AO75*$AR75),"")</f>
        <v/>
      </c>
      <c r="BA75" s="8" t="str">
        <f>IF(OR(표1_3[[#This Row],[등급]]="명서",(표1_3[[#This Row],[등급]]="고급")),IF(AP75="","",AP75*$AR75),"")</f>
        <v/>
      </c>
      <c r="BB75" s="8" t="str">
        <f>IF(OR(표1_3[[#This Row],[등급]]="명서",(표1_3[[#This Row],[등급]]="고급")),IF(AQ75="","",AQ75*$AR75),"")</f>
        <v/>
      </c>
    </row>
    <row r="76" spans="1:54" x14ac:dyDescent="0.3">
      <c r="A76" s="5" t="s">
        <v>114</v>
      </c>
      <c r="B76" s="6" t="s">
        <v>12</v>
      </c>
      <c r="C76" s="203" t="s">
        <v>799</v>
      </c>
      <c r="D76" s="7" t="s">
        <v>130</v>
      </c>
      <c r="E76" s="7">
        <f t="array" ref="E76">INDEX(표1[내 책 등급], MATCH(1, (표1[사용자] ='성장 시뮬레이터'!$B$1) * (표1[책이름] = D76), 0))</f>
        <v>10</v>
      </c>
      <c r="F76" s="6" t="s">
        <v>90</v>
      </c>
      <c r="G76" s="142">
        <v>100</v>
      </c>
      <c r="H76" s="8" t="str">
        <f>IF(ISNUMBER(SEARCH("여", F76)), IF('성장 시뮬레이터'!$C$9=2, "O", "X"), "O")</f>
        <v>O</v>
      </c>
      <c r="I76" s="8" t="str">
        <f>IF(OR(ISNUMBER(SEARCH("위나라", F76)), ISNUMBER(SEARCH("촉나라", F76)), ISNUMBER(SEARCH("오나라", F76)), ISNUMBER(SEARCH("군웅", F76))), IF(ISNUMBER(SEARCH('성장 시뮬레이터'!$C$10, F76)), "O", "X"), "O")</f>
        <v>O</v>
      </c>
      <c r="J76" s="8" t="str">
        <f>IF(
    AND(
        H76="O",
        I76="O",
        IF(ISNUMBER(SEARCH("무력+지력", F76)), ('성장 시뮬레이터'!$G$5+'성장 시뮬레이터'!$G$6) &gt;= G76,
           IF(ISNUMBER(SEARCH("무력", F76)), '성장 시뮬레이터'!$G$5 &gt;= G76,
           IF(ISNUMBER(SEARCH("지력", F76)), '성장 시뮬레이터'!$G$6 &gt;= G76,
           IF(ISNUMBER(SEARCH("내력", F76)), '성장 시뮬레이터'!$G$7 &gt;= G76,
           IF(ISNUMBER(SEARCH("체력", F76)), '성장 시뮬레이터'!$G$8 &gt;= G76, FALSE)))))
    ), "O", "X")</f>
        <v>X</v>
      </c>
      <c r="K76" s="106" t="str">
        <f>IF(
    AND(
        H76="O",
        I76="O",
        IF(ISNUMBER(SEARCH("무력+지력", F76)), ('성장 시뮬레이터'!$I$5+'성장 시뮬레이터'!$I$6) &gt;= G76,
           IF(ISNUMBER(SEARCH("무력", F76)), '성장 시뮬레이터'!$I$5 &gt;= G76,
           IF(ISNUMBER(SEARCH("지력", F76)), '성장 시뮬레이터'!$I$6 &gt;= G76,
           IF(ISNUMBER(SEARCH("내력", F76)), '성장 시뮬레이터'!$I$7 &gt;= G76,
           IF(ISNUMBER(SEARCH("체력", F76)), '성장 시뮬레이터'!$I$8 &gt;= G76, FALSE)))))
    ), "O", "X")</f>
        <v>O</v>
      </c>
      <c r="L76" s="106" t="str">
        <f>IF(
    AND(
        H76="O",
        I76="O",
        IF(ISNUMBER(SEARCH("무력+지력", F76)), ('성장 시뮬레이터'!$K$5+'성장 시뮬레이터'!$K$6) &gt;= G76,
           IF(ISNUMBER(SEARCH("무력", F76)), '성장 시뮬레이터'!$K$5 &gt;= G76,
           IF(ISNUMBER(SEARCH("지력", F76)), '성장 시뮬레이터'!$K$6 &gt;= G76,
           IF(ISNUMBER(SEARCH("내력", F76)), '성장 시뮬레이터'!$K$7 &gt;= G76,
           IF(ISNUMBER(SEARCH("체력", F76)), '성장 시뮬레이터'!$K$8 &gt;= G76, FALSE)))))
    ), "O", "X")</f>
        <v>O</v>
      </c>
      <c r="M76" s="106" t="str">
        <f>IF(
    AND(
        H76="O",
        I76="O",
        IF(ISNUMBER(SEARCH("무력+지력", F76)), ('성장 시뮬레이터'!$M$5+'성장 시뮬레이터'!$M$6) &gt;= G76,
           IF(ISNUMBER(SEARCH("무력", F76)), '성장 시뮬레이터'!$M$5 &gt;= G76,
           IF(ISNUMBER(SEARCH("지력", F76)), '성장 시뮬레이터'!$M$6 &gt;= G76,
           IF(ISNUMBER(SEARCH("내력", F76)), '성장 시뮬레이터'!$M$7 &gt;= G76,
           IF(ISNUMBER(SEARCH("체력", F76)), '성장 시뮬레이터'!$M$8 &gt;= G76, FALSE)))))
    ), "O", "X")</f>
        <v>O</v>
      </c>
      <c r="N76" s="106" t="str">
        <f>IF(
    AND(
        H76="O",
        I76="O",
        IF(ISNUMBER(SEARCH("무력+지력", F76)), ('성장 시뮬레이터'!$O$5+'성장 시뮬레이터'!$O$6) &gt;= G76,
           IF(ISNUMBER(SEARCH("무력", F76)), '성장 시뮬레이터'!$O$5 &gt;= G76,
           IF(ISNUMBER(SEARCH("지력", F76)), '성장 시뮬레이터'!$O$6 &gt;= G76,
           IF(ISNUMBER(SEARCH("내력", F76)), '성장 시뮬레이터'!$O$7 &gt;= G76,
           IF(ISNUMBER(SEARCH("체력", F76)), '성장 시뮬레이터'!$O$8 &gt;= G76, FALSE)))))
    ), "O", "X")</f>
        <v>O</v>
      </c>
      <c r="O76" s="106" t="str">
        <f>IF(
    AND(
        H76="O",
        I76="O",
        IF(ISNUMBER(SEARCH("무력+지력", F76)), ('성장 시뮬레이터'!$Q$5+'성장 시뮬레이터'!$Q$6) &gt;= G76,
           IF(ISNUMBER(SEARCH("무력", F76)), '성장 시뮬레이터'!$Q$5 &gt;= G76,
           IF(ISNUMBER(SEARCH("지력", F76)), '성장 시뮬레이터'!$Q$6 &gt;= G76,
           IF(ISNUMBER(SEARCH("내력", F76)), '성장 시뮬레이터'!$Q$7 &gt;= G76,
           IF(ISNUMBER(SEARCH("체력", F76)), '성장 시뮬레이터'!$Q$8 &gt;= G76, FALSE)))))
    ), "O", "X")</f>
        <v>O</v>
      </c>
      <c r="P76" s="106" t="s">
        <v>904</v>
      </c>
      <c r="Q76" s="142" t="str">
        <f t="shared" si="12"/>
        <v/>
      </c>
      <c r="R76" s="142">
        <f t="shared" si="13"/>
        <v>130</v>
      </c>
      <c r="S76" s="142">
        <f t="shared" si="14"/>
        <v>260</v>
      </c>
      <c r="T76" s="142" t="str">
        <f t="shared" si="15"/>
        <v/>
      </c>
      <c r="U76" s="142" t="str">
        <f t="shared" si="16"/>
        <v/>
      </c>
      <c r="V76" s="142" t="str">
        <f t="shared" si="17"/>
        <v/>
      </c>
      <c r="W76" s="142" t="str">
        <f t="shared" si="18"/>
        <v/>
      </c>
      <c r="X76" s="142" t="str">
        <f t="shared" si="19"/>
        <v/>
      </c>
      <c r="Y76" s="142">
        <f t="shared" si="20"/>
        <v>130</v>
      </c>
      <c r="Z76" s="142" t="str">
        <f t="shared" si="21"/>
        <v/>
      </c>
      <c r="AA76" s="11" t="s">
        <v>131</v>
      </c>
      <c r="AB76" s="11"/>
      <c r="AC76" s="11"/>
      <c r="AD76" s="11"/>
      <c r="AE76" s="12"/>
      <c r="AF76" s="144" t="s">
        <v>132</v>
      </c>
      <c r="AH76" s="8"/>
      <c r="AI76" s="8">
        <v>20</v>
      </c>
      <c r="AJ76" s="8">
        <v>40</v>
      </c>
      <c r="AK76" s="8"/>
      <c r="AL76" s="8"/>
      <c r="AM76" s="8"/>
      <c r="AN76" s="8"/>
      <c r="AO76" s="8"/>
      <c r="AP76" s="8">
        <v>20</v>
      </c>
      <c r="AQ76" s="8"/>
      <c r="AR76" s="103">
        <v>1.5</v>
      </c>
      <c r="AS76" s="8" t="str">
        <f>IF(OR(표1_3[[#This Row],[등급]]="명서",(표1_3[[#This Row],[등급]]="고급")),IF(AH76="","",AH76*$AR76),"")</f>
        <v/>
      </c>
      <c r="AT76" s="8">
        <f>IF(OR(표1_3[[#This Row],[등급]]="명서",(표1_3[[#This Row],[등급]]="고급")),IF(AI76="","",AI76*$AR76),"")</f>
        <v>30</v>
      </c>
      <c r="AU76" s="8">
        <f>IF(OR(표1_3[[#This Row],[등급]]="명서",(표1_3[[#This Row],[등급]]="고급")),IF(AJ76="","",AJ76*$AR76),"")</f>
        <v>60</v>
      </c>
      <c r="AV76" s="8" t="str">
        <f>IF(OR(표1_3[[#This Row],[등급]]="명서",(표1_3[[#This Row],[등급]]="고급")),IF(AK76="","",AK76*$AR76),"")</f>
        <v/>
      </c>
      <c r="AW76" s="8" t="str">
        <f>IF(OR(표1_3[[#This Row],[등급]]="명서",(표1_3[[#This Row],[등급]]="고급")),IF(AL76="","",AL76*$AR76),"")</f>
        <v/>
      </c>
      <c r="AX76" s="8" t="str">
        <f>IF(OR(표1_3[[#This Row],[등급]]="명서",(표1_3[[#This Row],[등급]]="고급")),IF(AM76="","",AM76*$AR76),"")</f>
        <v/>
      </c>
      <c r="AY76" s="8" t="str">
        <f>IF(OR(표1_3[[#This Row],[등급]]="명서",(표1_3[[#This Row],[등급]]="고급")),IF(AN76="","",AN76*$AR76),"")</f>
        <v/>
      </c>
      <c r="AZ76" s="8" t="str">
        <f>IF(OR(표1_3[[#This Row],[등급]]="명서",(표1_3[[#This Row],[등급]]="고급")),IF(AO76="","",AO76*$AR76),"")</f>
        <v/>
      </c>
      <c r="BA76" s="8">
        <f>IF(OR(표1_3[[#This Row],[등급]]="명서",(표1_3[[#This Row],[등급]]="고급")),IF(AP76="","",AP76*$AR76),"")</f>
        <v>30</v>
      </c>
      <c r="BB76" s="8" t="str">
        <f>IF(OR(표1_3[[#This Row],[등급]]="명서",(표1_3[[#This Row],[등급]]="고급")),IF(AQ76="","",AQ76*$AR76),"")</f>
        <v/>
      </c>
    </row>
    <row r="77" spans="1:54" x14ac:dyDescent="0.3">
      <c r="A77" s="5" t="s">
        <v>114</v>
      </c>
      <c r="B77" s="6" t="s">
        <v>12</v>
      </c>
      <c r="C77" s="6" t="s">
        <v>798</v>
      </c>
      <c r="D77" s="7" t="s">
        <v>133</v>
      </c>
      <c r="E77" s="7">
        <f t="array" ref="E77">INDEX(표1[내 책 등급], MATCH(1, (표1[사용자] ='성장 시뮬레이터'!$B$1) * (표1[책이름] = D77), 0))</f>
        <v>10</v>
      </c>
      <c r="F77" s="8" t="s">
        <v>14</v>
      </c>
      <c r="G77" s="142">
        <v>104</v>
      </c>
      <c r="H77" s="8" t="str">
        <f>IF(ISNUMBER(SEARCH("여", F77)), IF('성장 시뮬레이터'!$C$9=2, "O", "X"), "O")</f>
        <v>O</v>
      </c>
      <c r="I77" s="8" t="str">
        <f>IF(OR(ISNUMBER(SEARCH("위나라", F77)), ISNUMBER(SEARCH("촉나라", F77)), ISNUMBER(SEARCH("오나라", F77)), ISNUMBER(SEARCH("군웅", F77))), IF(ISNUMBER(SEARCH('성장 시뮬레이터'!$C$10, F77)), "O", "X"), "O")</f>
        <v>O</v>
      </c>
      <c r="J77" s="8" t="str">
        <f>IF(
    AND(
        H77="O",
        I77="O",
        IF(ISNUMBER(SEARCH("무력+지력", F77)), ('성장 시뮬레이터'!$G$5+'성장 시뮬레이터'!$G$6) &gt;= G77,
           IF(ISNUMBER(SEARCH("무력", F77)), '성장 시뮬레이터'!$G$5 &gt;= G77,
           IF(ISNUMBER(SEARCH("지력", F77)), '성장 시뮬레이터'!$G$6 &gt;= G77,
           IF(ISNUMBER(SEARCH("내력", F77)), '성장 시뮬레이터'!$G$7 &gt;= G77,
           IF(ISNUMBER(SEARCH("체력", F77)), '성장 시뮬레이터'!$G$8 &gt;= G77, FALSE)))))
    ), "O", "X")</f>
        <v>X</v>
      </c>
      <c r="K77" s="106" t="str">
        <f>IF(
    AND(
        H77="O",
        I77="O",
        IF(ISNUMBER(SEARCH("무력+지력", F77)), ('성장 시뮬레이터'!$I$5+'성장 시뮬레이터'!$I$6) &gt;= G77,
           IF(ISNUMBER(SEARCH("무력", F77)), '성장 시뮬레이터'!$I$5 &gt;= G77,
           IF(ISNUMBER(SEARCH("지력", F77)), '성장 시뮬레이터'!$I$6 &gt;= G77,
           IF(ISNUMBER(SEARCH("내력", F77)), '성장 시뮬레이터'!$I$7 &gt;= G77,
           IF(ISNUMBER(SEARCH("체력", F77)), '성장 시뮬레이터'!$I$8 &gt;= G77, FALSE)))))
    ), "O", "X")</f>
        <v>O</v>
      </c>
      <c r="L77" s="106" t="str">
        <f>IF(
    AND(
        H77="O",
        I77="O",
        IF(ISNUMBER(SEARCH("무력+지력", F77)), ('성장 시뮬레이터'!$K$5+'성장 시뮬레이터'!$K$6) &gt;= G77,
           IF(ISNUMBER(SEARCH("무력", F77)), '성장 시뮬레이터'!$K$5 &gt;= G77,
           IF(ISNUMBER(SEARCH("지력", F77)), '성장 시뮬레이터'!$K$6 &gt;= G77,
           IF(ISNUMBER(SEARCH("내력", F77)), '성장 시뮬레이터'!$K$7 &gt;= G77,
           IF(ISNUMBER(SEARCH("체력", F77)), '성장 시뮬레이터'!$K$8 &gt;= G77, FALSE)))))
    ), "O", "X")</f>
        <v>O</v>
      </c>
      <c r="M77" s="106" t="str">
        <f>IF(
    AND(
        H77="O",
        I77="O",
        IF(ISNUMBER(SEARCH("무력+지력", F77)), ('성장 시뮬레이터'!$M$5+'성장 시뮬레이터'!$M$6) &gt;= G77,
           IF(ISNUMBER(SEARCH("무력", F77)), '성장 시뮬레이터'!$M$5 &gt;= G77,
           IF(ISNUMBER(SEARCH("지력", F77)), '성장 시뮬레이터'!$M$6 &gt;= G77,
           IF(ISNUMBER(SEARCH("내력", F77)), '성장 시뮬레이터'!$M$7 &gt;= G77,
           IF(ISNUMBER(SEARCH("체력", F77)), '성장 시뮬레이터'!$M$8 &gt;= G77, FALSE)))))
    ), "O", "X")</f>
        <v>O</v>
      </c>
      <c r="N77" s="106" t="str">
        <f>IF(
    AND(
        H77="O",
        I77="O",
        IF(ISNUMBER(SEARCH("무력+지력", F77)), ('성장 시뮬레이터'!$O$5+'성장 시뮬레이터'!$O$6) &gt;= G77,
           IF(ISNUMBER(SEARCH("무력", F77)), '성장 시뮬레이터'!$O$5 &gt;= G77,
           IF(ISNUMBER(SEARCH("지력", F77)), '성장 시뮬레이터'!$O$6 &gt;= G77,
           IF(ISNUMBER(SEARCH("내력", F77)), '성장 시뮬레이터'!$O$7 &gt;= G77,
           IF(ISNUMBER(SEARCH("체력", F77)), '성장 시뮬레이터'!$O$8 &gt;= G77, FALSE)))))
    ), "O", "X")</f>
        <v>O</v>
      </c>
      <c r="O77" s="106" t="str">
        <f>IF(
    AND(
        H77="O",
        I77="O",
        IF(ISNUMBER(SEARCH("무력+지력", F77)), ('성장 시뮬레이터'!$Q$5+'성장 시뮬레이터'!$Q$6) &gt;= G77,
           IF(ISNUMBER(SEARCH("무력", F77)), '성장 시뮬레이터'!$Q$5 &gt;= G77,
           IF(ISNUMBER(SEARCH("지력", F77)), '성장 시뮬레이터'!$Q$6 &gt;= G77,
           IF(ISNUMBER(SEARCH("내력", F77)), '성장 시뮬레이터'!$Q$7 &gt;= G77,
           IF(ISNUMBER(SEARCH("체력", F77)), '성장 시뮬레이터'!$Q$8 &gt;= G77, FALSE)))))
    ), "O", "X")</f>
        <v>O</v>
      </c>
      <c r="P77" s="106" t="s">
        <v>904</v>
      </c>
      <c r="Q77" s="142">
        <f t="shared" si="12"/>
        <v>260</v>
      </c>
      <c r="R77" s="142" t="str">
        <f t="shared" si="13"/>
        <v/>
      </c>
      <c r="S77" s="142" t="str">
        <f t="shared" si="14"/>
        <v/>
      </c>
      <c r="T77" s="142" t="str">
        <f t="shared" si="15"/>
        <v/>
      </c>
      <c r="U77" s="142">
        <f t="shared" si="16"/>
        <v>195</v>
      </c>
      <c r="V77" s="142" t="str">
        <f t="shared" si="17"/>
        <v/>
      </c>
      <c r="W77" s="142" t="str">
        <f t="shared" si="18"/>
        <v/>
      </c>
      <c r="X77" s="142" t="str">
        <f t="shared" si="19"/>
        <v/>
      </c>
      <c r="Y77" s="142" t="str">
        <f t="shared" si="20"/>
        <v/>
      </c>
      <c r="Z77" s="142" t="str">
        <f t="shared" si="21"/>
        <v/>
      </c>
      <c r="AA77" s="9" t="s">
        <v>25</v>
      </c>
      <c r="AB77" s="11"/>
      <c r="AC77" s="11"/>
      <c r="AD77" s="11"/>
      <c r="AE77" s="12"/>
      <c r="AF77" s="143" t="s">
        <v>26</v>
      </c>
      <c r="AH77" s="8">
        <v>40</v>
      </c>
      <c r="AI77" s="8"/>
      <c r="AJ77" s="8"/>
      <c r="AK77" s="8"/>
      <c r="AL77" s="8">
        <v>30</v>
      </c>
      <c r="AM77" s="8"/>
      <c r="AN77" s="8"/>
      <c r="AO77" s="8"/>
      <c r="AP77" s="8"/>
      <c r="AQ77" s="8"/>
      <c r="AR77" s="103">
        <v>1.5</v>
      </c>
      <c r="AS77" s="8">
        <f>IF(OR(표1_3[[#This Row],[등급]]="명서",(표1_3[[#This Row],[등급]]="고급")),IF(AH77="","",AH77*$AR77),"")</f>
        <v>60</v>
      </c>
      <c r="AT77" s="8" t="str">
        <f>IF(OR(표1_3[[#This Row],[등급]]="명서",(표1_3[[#This Row],[등급]]="고급")),IF(AI77="","",AI77*$AR77),"")</f>
        <v/>
      </c>
      <c r="AU77" s="8" t="str">
        <f>IF(OR(표1_3[[#This Row],[등급]]="명서",(표1_3[[#This Row],[등급]]="고급")),IF(AJ77="","",AJ77*$AR77),"")</f>
        <v/>
      </c>
      <c r="AV77" s="8" t="str">
        <f>IF(OR(표1_3[[#This Row],[등급]]="명서",(표1_3[[#This Row],[등급]]="고급")),IF(AK77="","",AK77*$AR77),"")</f>
        <v/>
      </c>
      <c r="AW77" s="8">
        <f>IF(OR(표1_3[[#This Row],[등급]]="명서",(표1_3[[#This Row],[등급]]="고급")),IF(AL77="","",AL77*$AR77),"")</f>
        <v>45</v>
      </c>
      <c r="AX77" s="8" t="str">
        <f>IF(OR(표1_3[[#This Row],[등급]]="명서",(표1_3[[#This Row],[등급]]="고급")),IF(AM77="","",AM77*$AR77),"")</f>
        <v/>
      </c>
      <c r="AY77" s="8" t="str">
        <f>IF(OR(표1_3[[#This Row],[등급]]="명서",(표1_3[[#This Row],[등급]]="고급")),IF(AN77="","",AN77*$AR77),"")</f>
        <v/>
      </c>
      <c r="AZ77" s="8" t="str">
        <f>IF(OR(표1_3[[#This Row],[등급]]="명서",(표1_3[[#This Row],[등급]]="고급")),IF(AO77="","",AO77*$AR77),"")</f>
        <v/>
      </c>
      <c r="BA77" s="8" t="str">
        <f>IF(OR(표1_3[[#This Row],[등급]]="명서",(표1_3[[#This Row],[등급]]="고급")),IF(AP77="","",AP77*$AR77),"")</f>
        <v/>
      </c>
      <c r="BB77" s="8" t="str">
        <f>IF(OR(표1_3[[#This Row],[등급]]="명서",(표1_3[[#This Row],[등급]]="고급")),IF(AQ77="","",AQ77*$AR77),"")</f>
        <v/>
      </c>
    </row>
    <row r="78" spans="1:54" x14ac:dyDescent="0.3">
      <c r="A78" s="5" t="s">
        <v>114</v>
      </c>
      <c r="B78" s="6" t="s">
        <v>12</v>
      </c>
      <c r="C78" s="6" t="s">
        <v>797</v>
      </c>
      <c r="D78" s="105" t="s">
        <v>185</v>
      </c>
      <c r="E78" s="7">
        <f t="array" ref="E78">INDEX(표1[내 책 등급], MATCH(1, (표1[사용자] ='성장 시뮬레이터'!$B$1) * (표1[책이름] = D78), 0))</f>
        <v>9</v>
      </c>
      <c r="F78" s="106" t="s">
        <v>635</v>
      </c>
      <c r="G78" s="147">
        <v>98</v>
      </c>
      <c r="H78" s="106" t="str">
        <f>IF(ISNUMBER(SEARCH("여", F78)), IF('성장 시뮬레이터'!$C$9=2, "O", "X"), "O")</f>
        <v>O</v>
      </c>
      <c r="I78" s="106" t="str">
        <f>IF(OR(ISNUMBER(SEARCH("위나라", F78)), ISNUMBER(SEARCH("촉나라", F78)), ISNUMBER(SEARCH("오나라", F78)), ISNUMBER(SEARCH("군웅", F78))), IF(ISNUMBER(SEARCH('성장 시뮬레이터'!$C$10, F78)), "O", "X"), "O")</f>
        <v>O</v>
      </c>
      <c r="J78" s="8" t="str">
        <f>IF(
    AND(
        H78="O",
        I78="O",
        IF(ISNUMBER(SEARCH("무력+지력", F78)), ('성장 시뮬레이터'!$G$5+'성장 시뮬레이터'!$G$6) &gt;= G78,
           IF(ISNUMBER(SEARCH("무력", F78)), '성장 시뮬레이터'!$G$5 &gt;= G78,
           IF(ISNUMBER(SEARCH("지력", F78)), '성장 시뮬레이터'!$G$6 &gt;= G78,
           IF(ISNUMBER(SEARCH("내력", F78)), '성장 시뮬레이터'!$G$7 &gt;= G78,
           IF(ISNUMBER(SEARCH("체력", F78)), '성장 시뮬레이터'!$G$8 &gt;= G78, FALSE)))))
    ), "O", "X")</f>
        <v>O</v>
      </c>
      <c r="K78" s="106" t="str">
        <f>IF(
    AND(
        H78="O",
        I78="O",
        IF(ISNUMBER(SEARCH("무력+지력", F78)), ('성장 시뮬레이터'!$I$5+'성장 시뮬레이터'!$I$6) &gt;= G78,
           IF(ISNUMBER(SEARCH("무력", F78)), '성장 시뮬레이터'!$I$5 &gt;= G78,
           IF(ISNUMBER(SEARCH("지력", F78)), '성장 시뮬레이터'!$I$6 &gt;= G78,
           IF(ISNUMBER(SEARCH("내력", F78)), '성장 시뮬레이터'!$I$7 &gt;= G78,
           IF(ISNUMBER(SEARCH("체력", F78)), '성장 시뮬레이터'!$I$8 &gt;= G78, FALSE)))))
    ), "O", "X")</f>
        <v>O</v>
      </c>
      <c r="L78" s="106" t="str">
        <f>IF(
    AND(
        H78="O",
        I78="O",
        IF(ISNUMBER(SEARCH("무력+지력", F78)), ('성장 시뮬레이터'!$K$5+'성장 시뮬레이터'!$K$6) &gt;= G78,
           IF(ISNUMBER(SEARCH("무력", F78)), '성장 시뮬레이터'!$K$5 &gt;= G78,
           IF(ISNUMBER(SEARCH("지력", F78)), '성장 시뮬레이터'!$K$6 &gt;= G78,
           IF(ISNUMBER(SEARCH("내력", F78)), '성장 시뮬레이터'!$K$7 &gt;= G78,
           IF(ISNUMBER(SEARCH("체력", F78)), '성장 시뮬레이터'!$K$8 &gt;= G78, FALSE)))))
    ), "O", "X")</f>
        <v>O</v>
      </c>
      <c r="M78" s="106" t="str">
        <f>IF(
    AND(
        H78="O",
        I78="O",
        IF(ISNUMBER(SEARCH("무력+지력", F78)), ('성장 시뮬레이터'!$M$5+'성장 시뮬레이터'!$M$6) &gt;= G78,
           IF(ISNUMBER(SEARCH("무력", F78)), '성장 시뮬레이터'!$M$5 &gt;= G78,
           IF(ISNUMBER(SEARCH("지력", F78)), '성장 시뮬레이터'!$M$6 &gt;= G78,
           IF(ISNUMBER(SEARCH("내력", F78)), '성장 시뮬레이터'!$M$7 &gt;= G78,
           IF(ISNUMBER(SEARCH("체력", F78)), '성장 시뮬레이터'!$M$8 &gt;= G78, FALSE)))))
    ), "O", "X")</f>
        <v>O</v>
      </c>
      <c r="N78" s="106" t="str">
        <f>IF(
    AND(
        H78="O",
        I78="O",
        IF(ISNUMBER(SEARCH("무력+지력", F78)), ('성장 시뮬레이터'!$O$5+'성장 시뮬레이터'!$O$6) &gt;= G78,
           IF(ISNUMBER(SEARCH("무력", F78)), '성장 시뮬레이터'!$O$5 &gt;= G78,
           IF(ISNUMBER(SEARCH("지력", F78)), '성장 시뮬레이터'!$O$6 &gt;= G78,
           IF(ISNUMBER(SEARCH("내력", F78)), '성장 시뮬레이터'!$O$7 &gt;= G78,
           IF(ISNUMBER(SEARCH("체력", F78)), '성장 시뮬레이터'!$O$8 &gt;= G78, FALSE)))))
    ), "O", "X")</f>
        <v>O</v>
      </c>
      <c r="O78" s="106" t="str">
        <f>IF(
    AND(
        H78="O",
        I78="O",
        IF(ISNUMBER(SEARCH("무력+지력", F78)), ('성장 시뮬레이터'!$Q$5+'성장 시뮬레이터'!$Q$6) &gt;= G78,
           IF(ISNUMBER(SEARCH("무력", F78)), '성장 시뮬레이터'!$Q$5 &gt;= G78,
           IF(ISNUMBER(SEARCH("지력", F78)), '성장 시뮬레이터'!$Q$6 &gt;= G78,
           IF(ISNUMBER(SEARCH("내력", F78)), '성장 시뮬레이터'!$Q$7 &gt;= G78,
           IF(ISNUMBER(SEARCH("체력", F78)), '성장 시뮬레이터'!$Q$8 &gt;= G78, FALSE)))))
    ), "O", "X")</f>
        <v>O</v>
      </c>
      <c r="P78" s="106" t="s">
        <v>904</v>
      </c>
      <c r="Q78" s="142" t="str">
        <f t="shared" si="12"/>
        <v/>
      </c>
      <c r="R78" s="142" t="str">
        <f t="shared" si="13"/>
        <v/>
      </c>
      <c r="S78" s="142">
        <f t="shared" si="14"/>
        <v>200</v>
      </c>
      <c r="T78" s="142">
        <f t="shared" si="15"/>
        <v>100</v>
      </c>
      <c r="U78" s="142" t="str">
        <f t="shared" si="16"/>
        <v/>
      </c>
      <c r="V78" s="142" t="str">
        <f t="shared" si="17"/>
        <v/>
      </c>
      <c r="W78" s="142" t="str">
        <f t="shared" si="18"/>
        <v/>
      </c>
      <c r="X78" s="142" t="str">
        <f t="shared" si="19"/>
        <v/>
      </c>
      <c r="Y78" s="142" t="str">
        <f t="shared" si="20"/>
        <v/>
      </c>
      <c r="Z78" s="142" t="str">
        <f t="shared" si="21"/>
        <v/>
      </c>
      <c r="AA78" s="11" t="s">
        <v>207</v>
      </c>
      <c r="AB78" s="11"/>
      <c r="AC78" s="11"/>
      <c r="AD78" s="11"/>
      <c r="AE78" s="12"/>
      <c r="AF78" s="144" t="s">
        <v>208</v>
      </c>
      <c r="AH78" s="8"/>
      <c r="AI78" s="8"/>
      <c r="AJ78" s="8">
        <v>40</v>
      </c>
      <c r="AK78" s="8">
        <v>20</v>
      </c>
      <c r="AL78" s="8"/>
      <c r="AM78" s="8"/>
      <c r="AN78" s="8"/>
      <c r="AO78" s="8"/>
      <c r="AP78" s="8"/>
      <c r="AQ78" s="8"/>
      <c r="AR78" s="103">
        <v>1.5</v>
      </c>
      <c r="AS78" s="8" t="str">
        <f>IF(OR(표1_3[[#This Row],[등급]]="명서",(표1_3[[#This Row],[등급]]="고급")),IF(AH78="","",AH78*$AR78),"")</f>
        <v/>
      </c>
      <c r="AT78" s="8" t="str">
        <f>IF(OR(표1_3[[#This Row],[등급]]="명서",(표1_3[[#This Row],[등급]]="고급")),IF(AI78="","",AI78*$AR78),"")</f>
        <v/>
      </c>
      <c r="AU78" s="8">
        <f>IF(OR(표1_3[[#This Row],[등급]]="명서",(표1_3[[#This Row],[등급]]="고급")),IF(AJ78="","",AJ78*$AR78),"")</f>
        <v>60</v>
      </c>
      <c r="AV78" s="8">
        <f>IF(OR(표1_3[[#This Row],[등급]]="명서",(표1_3[[#This Row],[등급]]="고급")),IF(AK78="","",AK78*$AR78),"")</f>
        <v>30</v>
      </c>
      <c r="AW78" s="8" t="str">
        <f>IF(OR(표1_3[[#This Row],[등급]]="명서",(표1_3[[#This Row],[등급]]="고급")),IF(AL78="","",AL78*$AR78),"")</f>
        <v/>
      </c>
      <c r="AX78" s="8" t="str">
        <f>IF(OR(표1_3[[#This Row],[등급]]="명서",(표1_3[[#This Row],[등급]]="고급")),IF(AM78="","",AM78*$AR78),"")</f>
        <v/>
      </c>
      <c r="AY78" s="8" t="str">
        <f>IF(OR(표1_3[[#This Row],[등급]]="명서",(표1_3[[#This Row],[등급]]="고급")),IF(AN78="","",AN78*$AR78),"")</f>
        <v/>
      </c>
      <c r="AZ78" s="8" t="str">
        <f>IF(OR(표1_3[[#This Row],[등급]]="명서",(표1_3[[#This Row],[등급]]="고급")),IF(AO78="","",AO78*$AR78),"")</f>
        <v/>
      </c>
      <c r="BA78" s="8" t="str">
        <f>IF(OR(표1_3[[#This Row],[등급]]="명서",(표1_3[[#This Row],[등급]]="고급")),IF(AP78="","",AP78*$AR78),"")</f>
        <v/>
      </c>
      <c r="BB78" s="8" t="str">
        <f>IF(OR(표1_3[[#This Row],[등급]]="명서",(표1_3[[#This Row],[등급]]="고급")),IF(AQ78="","",AQ78*$AR78),"")</f>
        <v/>
      </c>
    </row>
    <row r="79" spans="1:54" x14ac:dyDescent="0.3">
      <c r="A79" s="5" t="s">
        <v>114</v>
      </c>
      <c r="B79" s="6" t="s">
        <v>12</v>
      </c>
      <c r="C79" s="6" t="s">
        <v>797</v>
      </c>
      <c r="D79" s="105" t="s">
        <v>186</v>
      </c>
      <c r="E79" s="7">
        <f t="array" ref="E79">INDEX(표1[내 책 등급], MATCH(1, (표1[사용자] ='성장 시뮬레이터'!$B$1) * (표1[책이름] = D79), 0))</f>
        <v>10</v>
      </c>
      <c r="F79" s="106" t="s">
        <v>189</v>
      </c>
      <c r="G79" s="147">
        <v>95</v>
      </c>
      <c r="H79" s="106" t="str">
        <f>IF(ISNUMBER(SEARCH("여", F79)), IF('성장 시뮬레이터'!$C$9=2, "O", "X"), "O")</f>
        <v>O</v>
      </c>
      <c r="I79" s="106" t="str">
        <f>IF(OR(ISNUMBER(SEARCH("위나라", F79)), ISNUMBER(SEARCH("촉나라", F79)), ISNUMBER(SEARCH("오나라", F79)), ISNUMBER(SEARCH("군웅", F79))), IF(ISNUMBER(SEARCH('성장 시뮬레이터'!$C$10, F79)), "O", "X"), "O")</f>
        <v>X</v>
      </c>
      <c r="J79" s="8" t="str">
        <f>IF(
    AND(
        H79="O",
        I79="O",
        IF(ISNUMBER(SEARCH("무력+지력", F79)), ('성장 시뮬레이터'!$G$5+'성장 시뮬레이터'!$G$6) &gt;= G79,
           IF(ISNUMBER(SEARCH("무력", F79)), '성장 시뮬레이터'!$G$5 &gt;= G79,
           IF(ISNUMBER(SEARCH("지력", F79)), '성장 시뮬레이터'!$G$6 &gt;= G79,
           IF(ISNUMBER(SEARCH("내력", F79)), '성장 시뮬레이터'!$G$7 &gt;= G79,
           IF(ISNUMBER(SEARCH("체력", F79)), '성장 시뮬레이터'!$G$8 &gt;= G79, FALSE)))))
    ), "O", "X")</f>
        <v>X</v>
      </c>
      <c r="K79" s="106" t="str">
        <f>IF(
    AND(
        H79="O",
        I79="O",
        IF(ISNUMBER(SEARCH("무력+지력", F79)), ('성장 시뮬레이터'!$I$5+'성장 시뮬레이터'!$I$6) &gt;= G79,
           IF(ISNUMBER(SEARCH("무력", F79)), '성장 시뮬레이터'!$I$5 &gt;= G79,
           IF(ISNUMBER(SEARCH("지력", F79)), '성장 시뮬레이터'!$I$6 &gt;= G79,
           IF(ISNUMBER(SEARCH("내력", F79)), '성장 시뮬레이터'!$I$7 &gt;= G79,
           IF(ISNUMBER(SEARCH("체력", F79)), '성장 시뮬레이터'!$I$8 &gt;= G79, FALSE)))))
    ), "O", "X")</f>
        <v>X</v>
      </c>
      <c r="L79" s="106" t="str">
        <f>IF(
    AND(
        H79="O",
        I79="O",
        IF(ISNUMBER(SEARCH("무력+지력", F79)), ('성장 시뮬레이터'!$K$5+'성장 시뮬레이터'!$K$6) &gt;= G79,
           IF(ISNUMBER(SEARCH("무력", F79)), '성장 시뮬레이터'!$K$5 &gt;= G79,
           IF(ISNUMBER(SEARCH("지력", F79)), '성장 시뮬레이터'!$K$6 &gt;= G79,
           IF(ISNUMBER(SEARCH("내력", F79)), '성장 시뮬레이터'!$K$7 &gt;= G79,
           IF(ISNUMBER(SEARCH("체력", F79)), '성장 시뮬레이터'!$K$8 &gt;= G79, FALSE)))))
    ), "O", "X")</f>
        <v>X</v>
      </c>
      <c r="M79" s="106" t="str">
        <f>IF(
    AND(
        H79="O",
        I79="O",
        IF(ISNUMBER(SEARCH("무력+지력", F79)), ('성장 시뮬레이터'!$M$5+'성장 시뮬레이터'!$M$6) &gt;= G79,
           IF(ISNUMBER(SEARCH("무력", F79)), '성장 시뮬레이터'!$M$5 &gt;= G79,
           IF(ISNUMBER(SEARCH("지력", F79)), '성장 시뮬레이터'!$M$6 &gt;= G79,
           IF(ISNUMBER(SEARCH("내력", F79)), '성장 시뮬레이터'!$M$7 &gt;= G79,
           IF(ISNUMBER(SEARCH("체력", F79)), '성장 시뮬레이터'!$M$8 &gt;= G79, FALSE)))))
    ), "O", "X")</f>
        <v>X</v>
      </c>
      <c r="N79" s="106" t="str">
        <f>IF(
    AND(
        H79="O",
        I79="O",
        IF(ISNUMBER(SEARCH("무력+지력", F79)), ('성장 시뮬레이터'!$O$5+'성장 시뮬레이터'!$O$6) &gt;= G79,
           IF(ISNUMBER(SEARCH("무력", F79)), '성장 시뮬레이터'!$O$5 &gt;= G79,
           IF(ISNUMBER(SEARCH("지력", F79)), '성장 시뮬레이터'!$O$6 &gt;= G79,
           IF(ISNUMBER(SEARCH("내력", F79)), '성장 시뮬레이터'!$O$7 &gt;= G79,
           IF(ISNUMBER(SEARCH("체력", F79)), '성장 시뮬레이터'!$O$8 &gt;= G79, FALSE)))))
    ), "O", "X")</f>
        <v>X</v>
      </c>
      <c r="O79" s="106" t="str">
        <f>IF(
    AND(
        H79="O",
        I79="O",
        IF(ISNUMBER(SEARCH("무력+지력", F79)), ('성장 시뮬레이터'!$Q$5+'성장 시뮬레이터'!$Q$6) &gt;= G79,
           IF(ISNUMBER(SEARCH("무력", F79)), '성장 시뮬레이터'!$Q$5 &gt;= G79,
           IF(ISNUMBER(SEARCH("지력", F79)), '성장 시뮬레이터'!$Q$6 &gt;= G79,
           IF(ISNUMBER(SEARCH("내력", F79)), '성장 시뮬레이터'!$Q$7 &gt;= G79,
           IF(ISNUMBER(SEARCH("체력", F79)), '성장 시뮬레이터'!$Q$8 &gt;= G79, FALSE)))))
    ), "O", "X")</f>
        <v>X</v>
      </c>
      <c r="P79" s="106" t="s">
        <v>905</v>
      </c>
      <c r="Q79" s="142">
        <f t="shared" si="12"/>
        <v>260</v>
      </c>
      <c r="R79" s="142" t="str">
        <f t="shared" si="13"/>
        <v/>
      </c>
      <c r="S79" s="142" t="str">
        <f t="shared" si="14"/>
        <v/>
      </c>
      <c r="T79" s="142" t="str">
        <f t="shared" si="15"/>
        <v/>
      </c>
      <c r="U79" s="142">
        <f t="shared" si="16"/>
        <v>130</v>
      </c>
      <c r="V79" s="142" t="str">
        <f t="shared" si="17"/>
        <v/>
      </c>
      <c r="W79" s="142" t="str">
        <f t="shared" si="18"/>
        <v/>
      </c>
      <c r="X79" s="142" t="str">
        <f t="shared" si="19"/>
        <v/>
      </c>
      <c r="Y79" s="142" t="str">
        <f t="shared" si="20"/>
        <v/>
      </c>
      <c r="Z79" s="142" t="str">
        <f t="shared" si="21"/>
        <v/>
      </c>
      <c r="AA79" s="9" t="s">
        <v>195</v>
      </c>
      <c r="AB79" s="11"/>
      <c r="AC79" s="11"/>
      <c r="AD79" s="11"/>
      <c r="AE79" s="12"/>
      <c r="AF79" s="143" t="s">
        <v>196</v>
      </c>
      <c r="AH79" s="8">
        <v>40</v>
      </c>
      <c r="AI79" s="8"/>
      <c r="AJ79" s="8"/>
      <c r="AK79" s="8"/>
      <c r="AL79" s="8">
        <v>20</v>
      </c>
      <c r="AM79" s="8"/>
      <c r="AN79" s="8"/>
      <c r="AO79" s="8"/>
      <c r="AP79" s="8"/>
      <c r="AQ79" s="8"/>
      <c r="AR79" s="103">
        <v>1.5</v>
      </c>
      <c r="AS79" s="8">
        <f>IF(OR(표1_3[[#This Row],[등급]]="명서",(표1_3[[#This Row],[등급]]="고급")),IF(AH79="","",AH79*$AR79),"")</f>
        <v>60</v>
      </c>
      <c r="AT79" s="8" t="str">
        <f>IF(OR(표1_3[[#This Row],[등급]]="명서",(표1_3[[#This Row],[등급]]="고급")),IF(AI79="","",AI79*$AR79),"")</f>
        <v/>
      </c>
      <c r="AU79" s="8" t="str">
        <f>IF(OR(표1_3[[#This Row],[등급]]="명서",(표1_3[[#This Row],[등급]]="고급")),IF(AJ79="","",AJ79*$AR79),"")</f>
        <v/>
      </c>
      <c r="AV79" s="8" t="str">
        <f>IF(OR(표1_3[[#This Row],[등급]]="명서",(표1_3[[#This Row],[등급]]="고급")),IF(AK79="","",AK79*$AR79),"")</f>
        <v/>
      </c>
      <c r="AW79" s="8">
        <f>IF(OR(표1_3[[#This Row],[등급]]="명서",(표1_3[[#This Row],[등급]]="고급")),IF(AL79="","",AL79*$AR79),"")</f>
        <v>30</v>
      </c>
      <c r="AX79" s="8" t="str">
        <f>IF(OR(표1_3[[#This Row],[등급]]="명서",(표1_3[[#This Row],[등급]]="고급")),IF(AM79="","",AM79*$AR79),"")</f>
        <v/>
      </c>
      <c r="AY79" s="8" t="str">
        <f>IF(OR(표1_3[[#This Row],[등급]]="명서",(표1_3[[#This Row],[등급]]="고급")),IF(AN79="","",AN79*$AR79),"")</f>
        <v/>
      </c>
      <c r="AZ79" s="8" t="str">
        <f>IF(OR(표1_3[[#This Row],[등급]]="명서",(표1_3[[#This Row],[등급]]="고급")),IF(AO79="","",AO79*$AR79),"")</f>
        <v/>
      </c>
      <c r="BA79" s="8" t="str">
        <f>IF(OR(표1_3[[#This Row],[등급]]="명서",(표1_3[[#This Row],[등급]]="고급")),IF(AP79="","",AP79*$AR79),"")</f>
        <v/>
      </c>
      <c r="BB79" s="8" t="str">
        <f>IF(OR(표1_3[[#This Row],[등급]]="명서",(표1_3[[#This Row],[등급]]="고급")),IF(AQ79="","",AQ79*$AR79),"")</f>
        <v/>
      </c>
    </row>
    <row r="80" spans="1:54" x14ac:dyDescent="0.3">
      <c r="A80" s="5" t="s">
        <v>114</v>
      </c>
      <c r="B80" s="6" t="s">
        <v>12</v>
      </c>
      <c r="C80" s="6" t="s">
        <v>788</v>
      </c>
      <c r="D80" s="105" t="s">
        <v>221</v>
      </c>
      <c r="E80" s="7">
        <f t="array" ref="E80">INDEX(표1[내 책 등급], MATCH(1, (표1[사용자] ='성장 시뮬레이터'!$B$1) * (표1[책이름] = D80), 0))</f>
        <v>7</v>
      </c>
      <c r="F80" s="106" t="s">
        <v>235</v>
      </c>
      <c r="G80" s="147">
        <v>98</v>
      </c>
      <c r="H80" s="106" t="str">
        <f>IF(ISNUMBER(SEARCH("여", F80)), IF('성장 시뮬레이터'!$C$9=2, "O", "X"), "O")</f>
        <v>O</v>
      </c>
      <c r="I80" s="106" t="str">
        <f>IF(OR(ISNUMBER(SEARCH("위나라", F80)), ISNUMBER(SEARCH("촉나라", F80)), ISNUMBER(SEARCH("오나라", F80)), ISNUMBER(SEARCH("군웅", F80))), IF(ISNUMBER(SEARCH('성장 시뮬레이터'!$C$10, F80)), "O", "X"), "O")</f>
        <v>X</v>
      </c>
      <c r="J80" s="8" t="str">
        <f>IF(
    AND(
        H80="O",
        I80="O",
        IF(ISNUMBER(SEARCH("무력+지력", F80)), ('성장 시뮬레이터'!$G$5+'성장 시뮬레이터'!$G$6) &gt;= G80,
           IF(ISNUMBER(SEARCH("무력", F80)), '성장 시뮬레이터'!$G$5 &gt;= G80,
           IF(ISNUMBER(SEARCH("지력", F80)), '성장 시뮬레이터'!$G$6 &gt;= G80,
           IF(ISNUMBER(SEARCH("내력", F80)), '성장 시뮬레이터'!$G$7 &gt;= G80,
           IF(ISNUMBER(SEARCH("체력", F80)), '성장 시뮬레이터'!$G$8 &gt;= G80, FALSE)))))
    ), "O", "X")</f>
        <v>X</v>
      </c>
      <c r="K80" s="106" t="str">
        <f>IF(
    AND(
        H80="O",
        I80="O",
        IF(ISNUMBER(SEARCH("무력+지력", F80)), ('성장 시뮬레이터'!$I$5+'성장 시뮬레이터'!$I$6) &gt;= G80,
           IF(ISNUMBER(SEARCH("무력", F80)), '성장 시뮬레이터'!$I$5 &gt;= G80,
           IF(ISNUMBER(SEARCH("지력", F80)), '성장 시뮬레이터'!$I$6 &gt;= G80,
           IF(ISNUMBER(SEARCH("내력", F80)), '성장 시뮬레이터'!$I$7 &gt;= G80,
           IF(ISNUMBER(SEARCH("체력", F80)), '성장 시뮬레이터'!$I$8 &gt;= G80, FALSE)))))
    ), "O", "X")</f>
        <v>X</v>
      </c>
      <c r="L80" s="106" t="str">
        <f>IF(
    AND(
        H80="O",
        I80="O",
        IF(ISNUMBER(SEARCH("무력+지력", F80)), ('성장 시뮬레이터'!$K$5+'성장 시뮬레이터'!$K$6) &gt;= G80,
           IF(ISNUMBER(SEARCH("무력", F80)), '성장 시뮬레이터'!$K$5 &gt;= G80,
           IF(ISNUMBER(SEARCH("지력", F80)), '성장 시뮬레이터'!$K$6 &gt;= G80,
           IF(ISNUMBER(SEARCH("내력", F80)), '성장 시뮬레이터'!$K$7 &gt;= G80,
           IF(ISNUMBER(SEARCH("체력", F80)), '성장 시뮬레이터'!$K$8 &gt;= G80, FALSE)))))
    ), "O", "X")</f>
        <v>X</v>
      </c>
      <c r="M80" s="106" t="str">
        <f>IF(
    AND(
        H80="O",
        I80="O",
        IF(ISNUMBER(SEARCH("무력+지력", F80)), ('성장 시뮬레이터'!$M$5+'성장 시뮬레이터'!$M$6) &gt;= G80,
           IF(ISNUMBER(SEARCH("무력", F80)), '성장 시뮬레이터'!$M$5 &gt;= G80,
           IF(ISNUMBER(SEARCH("지력", F80)), '성장 시뮬레이터'!$M$6 &gt;= G80,
           IF(ISNUMBER(SEARCH("내력", F80)), '성장 시뮬레이터'!$M$7 &gt;= G80,
           IF(ISNUMBER(SEARCH("체력", F80)), '성장 시뮬레이터'!$M$8 &gt;= G80, FALSE)))))
    ), "O", "X")</f>
        <v>X</v>
      </c>
      <c r="N80" s="106" t="str">
        <f>IF(
    AND(
        H80="O",
        I80="O",
        IF(ISNUMBER(SEARCH("무력+지력", F80)), ('성장 시뮬레이터'!$O$5+'성장 시뮬레이터'!$O$6) &gt;= G80,
           IF(ISNUMBER(SEARCH("무력", F80)), '성장 시뮬레이터'!$O$5 &gt;= G80,
           IF(ISNUMBER(SEARCH("지력", F80)), '성장 시뮬레이터'!$O$6 &gt;= G80,
           IF(ISNUMBER(SEARCH("내력", F80)), '성장 시뮬레이터'!$O$7 &gt;= G80,
           IF(ISNUMBER(SEARCH("체력", F80)), '성장 시뮬레이터'!$O$8 &gt;= G80, FALSE)))))
    ), "O", "X")</f>
        <v>X</v>
      </c>
      <c r="O80" s="106" t="str">
        <f>IF(
    AND(
        H80="O",
        I80="O",
        IF(ISNUMBER(SEARCH("무력+지력", F80)), ('성장 시뮬레이터'!$Q$5+'성장 시뮬레이터'!$Q$6) &gt;= G80,
           IF(ISNUMBER(SEARCH("무력", F80)), '성장 시뮬레이터'!$Q$5 &gt;= G80,
           IF(ISNUMBER(SEARCH("지력", F80)), '성장 시뮬레이터'!$Q$6 &gt;= G80,
           IF(ISNUMBER(SEARCH("내력", F80)), '성장 시뮬레이터'!$Q$7 &gt;= G80,
           IF(ISNUMBER(SEARCH("체력", F80)), '성장 시뮬레이터'!$Q$8 &gt;= G80, FALSE)))))
    ), "O", "X")</f>
        <v>X</v>
      </c>
      <c r="P80" s="106" t="s">
        <v>905</v>
      </c>
      <c r="Q80" s="142" t="str">
        <f t="shared" si="12"/>
        <v/>
      </c>
      <c r="R80" s="142" t="str">
        <f t="shared" si="13"/>
        <v/>
      </c>
      <c r="S80" s="142">
        <f t="shared" si="14"/>
        <v>120</v>
      </c>
      <c r="T80" s="142" t="str">
        <f t="shared" si="15"/>
        <v/>
      </c>
      <c r="U80" s="142" t="str">
        <f t="shared" si="16"/>
        <v/>
      </c>
      <c r="V80" s="142" t="str">
        <f t="shared" si="17"/>
        <v/>
      </c>
      <c r="W80" s="142" t="str">
        <f t="shared" si="18"/>
        <v/>
      </c>
      <c r="X80" s="142" t="str">
        <f t="shared" si="19"/>
        <v/>
      </c>
      <c r="Y80" s="142" t="str">
        <f t="shared" si="20"/>
        <v/>
      </c>
      <c r="Z80" s="142">
        <f t="shared" si="21"/>
        <v>90</v>
      </c>
      <c r="AA80" s="9" t="s">
        <v>236</v>
      </c>
      <c r="AB80" s="9"/>
      <c r="AC80" s="9"/>
      <c r="AD80" s="9"/>
      <c r="AE80" s="10"/>
      <c r="AF80" s="143" t="s">
        <v>237</v>
      </c>
      <c r="AH80" s="8"/>
      <c r="AI80" s="8"/>
      <c r="AJ80" s="8">
        <v>40</v>
      </c>
      <c r="AK80" s="8"/>
      <c r="AL80" s="8"/>
      <c r="AM80" s="8"/>
      <c r="AN80" s="8"/>
      <c r="AO80" s="8"/>
      <c r="AP80" s="8"/>
      <c r="AQ80" s="8">
        <v>30</v>
      </c>
      <c r="AR80" s="103">
        <v>1.5</v>
      </c>
      <c r="AS80" s="8" t="str">
        <f>IF(OR(표1_3[[#This Row],[등급]]="명서",(표1_3[[#This Row],[등급]]="고급")),IF(AH80="","",AH80*$AR80),"")</f>
        <v/>
      </c>
      <c r="AT80" s="8" t="str">
        <f>IF(OR(표1_3[[#This Row],[등급]]="명서",(표1_3[[#This Row],[등급]]="고급")),IF(AI80="","",AI80*$AR80),"")</f>
        <v/>
      </c>
      <c r="AU80" s="8">
        <f>IF(OR(표1_3[[#This Row],[등급]]="명서",(표1_3[[#This Row],[등급]]="고급")),IF(AJ80="","",AJ80*$AR80),"")</f>
        <v>60</v>
      </c>
      <c r="AV80" s="8" t="str">
        <f>IF(OR(표1_3[[#This Row],[등급]]="명서",(표1_3[[#This Row],[등급]]="고급")),IF(AK80="","",AK80*$AR80),"")</f>
        <v/>
      </c>
      <c r="AW80" s="8" t="str">
        <f>IF(OR(표1_3[[#This Row],[등급]]="명서",(표1_3[[#This Row],[등급]]="고급")),IF(AL80="","",AL80*$AR80),"")</f>
        <v/>
      </c>
      <c r="AX80" s="8" t="str">
        <f>IF(OR(표1_3[[#This Row],[등급]]="명서",(표1_3[[#This Row],[등급]]="고급")),IF(AM80="","",AM80*$AR80),"")</f>
        <v/>
      </c>
      <c r="AY80" s="8" t="str">
        <f>IF(OR(표1_3[[#This Row],[등급]]="명서",(표1_3[[#This Row],[등급]]="고급")),IF(AN80="","",AN80*$AR80),"")</f>
        <v/>
      </c>
      <c r="AZ80" s="8" t="str">
        <f>IF(OR(표1_3[[#This Row],[등급]]="명서",(표1_3[[#This Row],[등급]]="고급")),IF(AO80="","",AO80*$AR80),"")</f>
        <v/>
      </c>
      <c r="BA80" s="8" t="str">
        <f>IF(OR(표1_3[[#This Row],[등급]]="명서",(표1_3[[#This Row],[등급]]="고급")),IF(AP80="","",AP80*$AR80),"")</f>
        <v/>
      </c>
      <c r="BB80" s="8">
        <f>IF(OR(표1_3[[#This Row],[등급]]="명서",(표1_3[[#This Row],[등급]]="고급")),IF(AQ80="","",AQ80*$AR80),"")</f>
        <v>45</v>
      </c>
    </row>
    <row r="81" spans="1:54" x14ac:dyDescent="0.3">
      <c r="A81" s="5" t="s">
        <v>114</v>
      </c>
      <c r="B81" s="6" t="s">
        <v>12</v>
      </c>
      <c r="C81" s="6" t="s">
        <v>788</v>
      </c>
      <c r="D81" s="105" t="s">
        <v>222</v>
      </c>
      <c r="E81" s="7">
        <f t="array" ref="E81">INDEX(표1[내 책 등급], MATCH(1, (표1[사용자] ='성장 시뮬레이터'!$B$1) * (표1[책이름] = D81), 0))</f>
        <v>5</v>
      </c>
      <c r="F81" s="106" t="s">
        <v>188</v>
      </c>
      <c r="G81" s="147">
        <v>95</v>
      </c>
      <c r="H81" s="106" t="str">
        <f>IF(ISNUMBER(SEARCH("여", F81)), IF('성장 시뮬레이터'!$C$9=2, "O", "X"), "O")</f>
        <v>O</v>
      </c>
      <c r="I81" s="106" t="str">
        <f>IF(OR(ISNUMBER(SEARCH("위나라", F81)), ISNUMBER(SEARCH("촉나라", F81)), ISNUMBER(SEARCH("오나라", F81)), ISNUMBER(SEARCH("군웅", F81))), IF(ISNUMBER(SEARCH('성장 시뮬레이터'!$C$10, F81)), "O", "X"), "O")</f>
        <v>X</v>
      </c>
      <c r="J81" s="8" t="str">
        <f>IF(
    AND(
        H81="O",
        I81="O",
        IF(ISNUMBER(SEARCH("무력+지력", F81)), ('성장 시뮬레이터'!$G$5+'성장 시뮬레이터'!$G$6) &gt;= G81,
           IF(ISNUMBER(SEARCH("무력", F81)), '성장 시뮬레이터'!$G$5 &gt;= G81,
           IF(ISNUMBER(SEARCH("지력", F81)), '성장 시뮬레이터'!$G$6 &gt;= G81,
           IF(ISNUMBER(SEARCH("내력", F81)), '성장 시뮬레이터'!$G$7 &gt;= G81,
           IF(ISNUMBER(SEARCH("체력", F81)), '성장 시뮬레이터'!$G$8 &gt;= G81, FALSE)))))
    ), "O", "X")</f>
        <v>X</v>
      </c>
      <c r="K81" s="106" t="str">
        <f>IF(
    AND(
        H81="O",
        I81="O",
        IF(ISNUMBER(SEARCH("무력+지력", F81)), ('성장 시뮬레이터'!$I$5+'성장 시뮬레이터'!$I$6) &gt;= G81,
           IF(ISNUMBER(SEARCH("무력", F81)), '성장 시뮬레이터'!$I$5 &gt;= G81,
           IF(ISNUMBER(SEARCH("지력", F81)), '성장 시뮬레이터'!$I$6 &gt;= G81,
           IF(ISNUMBER(SEARCH("내력", F81)), '성장 시뮬레이터'!$I$7 &gt;= G81,
           IF(ISNUMBER(SEARCH("체력", F81)), '성장 시뮬레이터'!$I$8 &gt;= G81, FALSE)))))
    ), "O", "X")</f>
        <v>X</v>
      </c>
      <c r="L81" s="106" t="str">
        <f>IF(
    AND(
        H81="O",
        I81="O",
        IF(ISNUMBER(SEARCH("무력+지력", F81)), ('성장 시뮬레이터'!$K$5+'성장 시뮬레이터'!$K$6) &gt;= G81,
           IF(ISNUMBER(SEARCH("무력", F81)), '성장 시뮬레이터'!$K$5 &gt;= G81,
           IF(ISNUMBER(SEARCH("지력", F81)), '성장 시뮬레이터'!$K$6 &gt;= G81,
           IF(ISNUMBER(SEARCH("내력", F81)), '성장 시뮬레이터'!$K$7 &gt;= G81,
           IF(ISNUMBER(SEARCH("체력", F81)), '성장 시뮬레이터'!$K$8 &gt;= G81, FALSE)))))
    ), "O", "X")</f>
        <v>X</v>
      </c>
      <c r="M81" s="106" t="str">
        <f>IF(
    AND(
        H81="O",
        I81="O",
        IF(ISNUMBER(SEARCH("무력+지력", F81)), ('성장 시뮬레이터'!$M$5+'성장 시뮬레이터'!$M$6) &gt;= G81,
           IF(ISNUMBER(SEARCH("무력", F81)), '성장 시뮬레이터'!$M$5 &gt;= G81,
           IF(ISNUMBER(SEARCH("지력", F81)), '성장 시뮬레이터'!$M$6 &gt;= G81,
           IF(ISNUMBER(SEARCH("내력", F81)), '성장 시뮬레이터'!$M$7 &gt;= G81,
           IF(ISNUMBER(SEARCH("체력", F81)), '성장 시뮬레이터'!$M$8 &gt;= G81, FALSE)))))
    ), "O", "X")</f>
        <v>X</v>
      </c>
      <c r="N81" s="106" t="str">
        <f>IF(
    AND(
        H81="O",
        I81="O",
        IF(ISNUMBER(SEARCH("무력+지력", F81)), ('성장 시뮬레이터'!$O$5+'성장 시뮬레이터'!$O$6) &gt;= G81,
           IF(ISNUMBER(SEARCH("무력", F81)), '성장 시뮬레이터'!$O$5 &gt;= G81,
           IF(ISNUMBER(SEARCH("지력", F81)), '성장 시뮬레이터'!$O$6 &gt;= G81,
           IF(ISNUMBER(SEARCH("내력", F81)), '성장 시뮬레이터'!$O$7 &gt;= G81,
           IF(ISNUMBER(SEARCH("체력", F81)), '성장 시뮬레이터'!$O$8 &gt;= G81, FALSE)))))
    ), "O", "X")</f>
        <v>X</v>
      </c>
      <c r="O81" s="106" t="str">
        <f>IF(
    AND(
        H81="O",
        I81="O",
        IF(ISNUMBER(SEARCH("무력+지력", F81)), ('성장 시뮬레이터'!$Q$5+'성장 시뮬레이터'!$Q$6) &gt;= G81,
           IF(ISNUMBER(SEARCH("무력", F81)), '성장 시뮬레이터'!$Q$5 &gt;= G81,
           IF(ISNUMBER(SEARCH("지력", F81)), '성장 시뮬레이터'!$Q$6 &gt;= G81,
           IF(ISNUMBER(SEARCH("내력", F81)), '성장 시뮬레이터'!$Q$7 &gt;= G81,
           IF(ISNUMBER(SEARCH("체력", F81)), '성장 시뮬레이터'!$Q$8 &gt;= G81, FALSE)))))
    ), "O", "X")</f>
        <v>X</v>
      </c>
      <c r="P81" s="106" t="s">
        <v>905</v>
      </c>
      <c r="Q81" s="142">
        <f t="shared" si="12"/>
        <v>40</v>
      </c>
      <c r="R81" s="142" t="str">
        <f t="shared" si="13"/>
        <v/>
      </c>
      <c r="S81" s="142" t="str">
        <f t="shared" si="14"/>
        <v/>
      </c>
      <c r="T81" s="142" t="str">
        <f t="shared" si="15"/>
        <v/>
      </c>
      <c r="U81" s="142" t="str">
        <f t="shared" si="16"/>
        <v/>
      </c>
      <c r="V81" s="142">
        <f t="shared" si="17"/>
        <v>20</v>
      </c>
      <c r="W81" s="142" t="str">
        <f t="shared" si="18"/>
        <v/>
      </c>
      <c r="X81" s="142" t="str">
        <f t="shared" si="19"/>
        <v/>
      </c>
      <c r="Y81" s="142" t="str">
        <f t="shared" si="20"/>
        <v/>
      </c>
      <c r="Z81" s="142" t="str">
        <f t="shared" si="21"/>
        <v/>
      </c>
      <c r="AA81" s="108" t="s">
        <v>239</v>
      </c>
      <c r="AB81" s="107"/>
      <c r="AC81" s="107"/>
      <c r="AD81" s="107"/>
      <c r="AE81" s="107"/>
      <c r="AF81" s="145" t="s">
        <v>240</v>
      </c>
      <c r="AH81" s="8">
        <v>40</v>
      </c>
      <c r="AI81" s="8"/>
      <c r="AJ81" s="8"/>
      <c r="AK81" s="8"/>
      <c r="AL81" s="8"/>
      <c r="AM81" s="8">
        <v>20</v>
      </c>
      <c r="AN81" s="8"/>
      <c r="AO81" s="8"/>
      <c r="AP81" s="8"/>
      <c r="AQ81" s="8"/>
      <c r="AR81" s="103">
        <v>1.5</v>
      </c>
      <c r="AS81" s="8">
        <f>IF(OR(표1_3[[#This Row],[등급]]="명서",(표1_3[[#This Row],[등급]]="고급")),IF(AH81="","",AH81*$AR81),"")</f>
        <v>60</v>
      </c>
      <c r="AT81" s="8" t="str">
        <f>IF(OR(표1_3[[#This Row],[등급]]="명서",(표1_3[[#This Row],[등급]]="고급")),IF(AI81="","",AI81*$AR81),"")</f>
        <v/>
      </c>
      <c r="AU81" s="8" t="str">
        <f>IF(OR(표1_3[[#This Row],[등급]]="명서",(표1_3[[#This Row],[등급]]="고급")),IF(AJ81="","",AJ81*$AR81),"")</f>
        <v/>
      </c>
      <c r="AV81" s="8" t="str">
        <f>IF(OR(표1_3[[#This Row],[등급]]="명서",(표1_3[[#This Row],[등급]]="고급")),IF(AK81="","",AK81*$AR81),"")</f>
        <v/>
      </c>
      <c r="AW81" s="8" t="str">
        <f>IF(OR(표1_3[[#This Row],[등급]]="명서",(표1_3[[#This Row],[등급]]="고급")),IF(AL81="","",AL81*$AR81),"")</f>
        <v/>
      </c>
      <c r="AX81" s="8">
        <f>IF(OR(표1_3[[#This Row],[등급]]="명서",(표1_3[[#This Row],[등급]]="고급")),IF(AM81="","",AM81*$AR81),"")</f>
        <v>30</v>
      </c>
      <c r="AY81" s="8" t="str">
        <f>IF(OR(표1_3[[#This Row],[등급]]="명서",(표1_3[[#This Row],[등급]]="고급")),IF(AN81="","",AN81*$AR81),"")</f>
        <v/>
      </c>
      <c r="AZ81" s="8" t="str">
        <f>IF(OR(표1_3[[#This Row],[등급]]="명서",(표1_3[[#This Row],[등급]]="고급")),IF(AO81="","",AO81*$AR81),"")</f>
        <v/>
      </c>
      <c r="BA81" s="8" t="str">
        <f>IF(OR(표1_3[[#This Row],[등급]]="명서",(표1_3[[#This Row],[등급]]="고급")),IF(AP81="","",AP81*$AR81),"")</f>
        <v/>
      </c>
      <c r="BB81" s="8" t="str">
        <f>IF(OR(표1_3[[#This Row],[등급]]="명서",(표1_3[[#This Row],[등급]]="고급")),IF(AQ81="","",AQ81*$AR81),"")</f>
        <v/>
      </c>
    </row>
    <row r="82" spans="1:54" x14ac:dyDescent="0.3">
      <c r="A82" s="5" t="s">
        <v>114</v>
      </c>
      <c r="B82" s="6" t="s">
        <v>12</v>
      </c>
      <c r="C82" s="6" t="s">
        <v>787</v>
      </c>
      <c r="D82" s="105" t="s">
        <v>775</v>
      </c>
      <c r="E82" s="7">
        <f t="array" ref="E82">INDEX(표1[내 책 등급], MATCH(1, (표1[사용자] ='성장 시뮬레이터'!$B$1) * (표1[책이름] = D82), 0))</f>
        <v>7</v>
      </c>
      <c r="F82" s="106" t="s">
        <v>809</v>
      </c>
      <c r="G82" s="147">
        <v>98</v>
      </c>
      <c r="H82" s="142" t="str">
        <f>IF(ISNUMBER(SEARCH("여", F82)), IF(서책입력!$D$118=2, "O", "X"), "O")</f>
        <v>O</v>
      </c>
      <c r="I82" s="142" t="str">
        <f>IF(OR(ISNUMBER(SEARCH("위나라", F82)), ISNUMBER(SEARCH("촉나라", F82)), ISNUMBER(SEARCH("오나라", F82)), ISNUMBER(SEARCH("군웅", F82))), IF(ISNUMBER(SEARCH(서책입력!$D$119, F82)), "O", "X"), "O")</f>
        <v>O</v>
      </c>
      <c r="J82" s="147" t="str">
        <f>IF(
    AND(
        H82="O",
        I82="O",
        IF(ISNUMBER(SEARCH("무력+지력", F82)), (서책입력!$G$114+서책입력!$G$115) &gt;= G82,
           IF(ISNUMBER(SEARCH("무력", F82)), 서책입력!$G$114 &gt;= G82,
           IF(ISNUMBER(SEARCH("지력", F82)), 서책입력!$G$115 &gt;= G82,
           IF(ISNUMBER(SEARCH("내력", F82)), 서책입력!$G$116 &gt;= G82,
           IF(ISNUMBER(SEARCH("체력", F82)), 서책입력!$G$117 &gt;= G82, FALSE)))))
    ), "O", "X")</f>
        <v>X</v>
      </c>
      <c r="K82" s="142" t="str">
        <f>IF(
    AND(
        H82="O",
        I82="O",
        IF(ISNUMBER(SEARCH("무력+지력", F82)), (서책입력!$I$114+서책입력!$I$115) &gt;= G82,
           IF(ISNUMBER(SEARCH("무력", F82)), 서책입력!$I$114 &gt;= G82,
           IF(ISNUMBER(SEARCH("지력", F82)), 서책입력!$I$115 &gt;= G82,
           IF(ISNUMBER(SEARCH("내력", F82)), 서책입력!$I$116 &gt;= G82,
           IF(ISNUMBER(SEARCH("체력", F82)), 서책입력!$I$117 &gt;= G82, FALSE)))))
    ), "O", "X")</f>
        <v>X</v>
      </c>
      <c r="L82" s="147" t="str">
        <f>IF(
    AND(
        H82="O",
        I82="O",
        IF(ISNUMBER(SEARCH("무력+지력", F82)), (서책입력!$K$114+서책입력!$K$115) &gt;= G82,
           IF(ISNUMBER(SEARCH("무력", F82)), 서책입력!$K$114 &gt;= G82,
           IF(ISNUMBER(SEARCH("지력", F82)), 서책입력!$K$115 &gt;= G82,
           IF(ISNUMBER(SEARCH("내력", F82)), 서책입력!$K$116 &gt;= G82,
           IF(ISNUMBER(SEARCH("체력", F82)), 서책입력!$K$117 &gt;= G82, FALSE)))))
    ), "O", "X")</f>
        <v>X</v>
      </c>
      <c r="M82" s="147" t="str">
        <f>IF(
    AND(
        H82="O",
        I82="O",
        IF(ISNUMBER(SEARCH("무력+지력", F82)), (서책입력!$M$114+서책입력!$M$115) &gt;= G82,
           IF(ISNUMBER(SEARCH("무력", F82)), 서책입력!$M$114 &gt;= G82,
           IF(ISNUMBER(SEARCH("지력", F82)), 서책입력!$M$115 &gt;= G82,
           IF(ISNUMBER(SEARCH("내력", F82)), 서책입력!$M$116 &gt;= G82,
           IF(ISNUMBER(SEARCH("체력", F82)), 서책입력!$M$117 &gt;= G82, FALSE)))))
    ), "O", "X")</f>
        <v>X</v>
      </c>
      <c r="N82" s="147" t="str">
        <f>IF(
    AND(
        H82="O",
        I82="O",
        IF(ISNUMBER(SEARCH("무력+지력", F82)), (서책입력!$O$114+서책입력!$O$115) &gt;= G82,
           IF(ISNUMBER(SEARCH("무력", F82)), 서책입력!$O$114 &gt;= G82,
           IF(ISNUMBER(SEARCH("지력", F82)), 서책입력!$O$115 &gt;= G82,
           IF(ISNUMBER(SEARCH("내력", F82)), 서책입력!$O$116 &gt;= G82,
           IF(ISNUMBER(SEARCH("체력", F82)), 서책입력!$O$117 &gt;= G82, FALSE)))))
    ), "O", "X")</f>
        <v>X</v>
      </c>
      <c r="O82" s="147" t="str">
        <f>IF(
    AND(
        H82="O",
        I82="O",
        IF(ISNUMBER(SEARCH("무력+지력", F82)), (서책입력!$R$114+서책입력!$R$115) &gt;= G82,
           IF(ISNUMBER(SEARCH("무력", F82)), 서책입력!$R$114 &gt;= G82,
           IF(ISNUMBER(SEARCH("지력", F82)), 서책입력!$R$115 &gt;= G82,
           IF(ISNUMBER(SEARCH("내력", F82)), 서책입력!$R$116 &gt;= G82,
           IF(ISNUMBER(SEARCH("체력", F82)), 서책입력!$R$117 &gt;= G82, FALSE)))))
    ), "O", "X")</f>
        <v>X</v>
      </c>
      <c r="P82" s="147" t="s">
        <v>905</v>
      </c>
      <c r="Q82" s="147" t="str">
        <f t="shared" ref="Q82:Z85" si="24">IF(OR($E82=0, AH82=""), "", CHOOSE(IF($E82=10, 1, IF($E82=4, 2, 3)), AS82+AH82*5, AH82, ($E82-4)*AH82))</f>
        <v/>
      </c>
      <c r="R82" s="147" t="str">
        <f t="shared" si="24"/>
        <v/>
      </c>
      <c r="S82" s="147">
        <f t="shared" si="24"/>
        <v>120</v>
      </c>
      <c r="T82" s="147">
        <f t="shared" si="24"/>
        <v>60</v>
      </c>
      <c r="U82" s="147" t="str">
        <f t="shared" si="24"/>
        <v/>
      </c>
      <c r="V82" s="147" t="str">
        <f t="shared" si="24"/>
        <v/>
      </c>
      <c r="W82" s="147" t="str">
        <f t="shared" si="24"/>
        <v/>
      </c>
      <c r="X82" s="147" t="str">
        <f t="shared" si="24"/>
        <v/>
      </c>
      <c r="Y82" s="147" t="str">
        <f t="shared" si="24"/>
        <v/>
      </c>
      <c r="Z82" s="147" t="str">
        <f t="shared" si="24"/>
        <v/>
      </c>
      <c r="AA82" s="108" t="s">
        <v>207</v>
      </c>
      <c r="AB82" s="107"/>
      <c r="AC82" s="107"/>
      <c r="AD82" s="107"/>
      <c r="AE82" s="107"/>
      <c r="AF82" s="145" t="s">
        <v>208</v>
      </c>
      <c r="AH82" s="8"/>
      <c r="AI82" s="8"/>
      <c r="AJ82" s="8">
        <v>40</v>
      </c>
      <c r="AK82" s="8">
        <v>20</v>
      </c>
      <c r="AL82" s="8"/>
      <c r="AM82" s="8"/>
      <c r="AN82" s="8"/>
      <c r="AO82" s="8"/>
      <c r="AP82" s="8"/>
      <c r="AQ82" s="8"/>
      <c r="AR82" s="103">
        <v>1.5</v>
      </c>
      <c r="AS82" s="8" t="str">
        <f>IF(OR(표1_3[[#This Row],[등급]]="명서",(표1_3[[#This Row],[등급]]="고급")),IF(AH82="","",AH82*$AR82),"")</f>
        <v/>
      </c>
      <c r="AT82" s="8" t="str">
        <f>IF(OR(표1_3[[#This Row],[등급]]="명서",(표1_3[[#This Row],[등급]]="고급")),IF(AI82="","",AI82*$AR82),"")</f>
        <v/>
      </c>
      <c r="AU82" s="8">
        <f>IF(OR(표1_3[[#This Row],[등급]]="명서",(표1_3[[#This Row],[등급]]="고급")),IF(AJ82="","",AJ82*$AR82),"")</f>
        <v>60</v>
      </c>
      <c r="AV82" s="8">
        <f>IF(OR(표1_3[[#This Row],[등급]]="명서",(표1_3[[#This Row],[등급]]="고급")),IF(AK82="","",AK82*$AR82),"")</f>
        <v>30</v>
      </c>
      <c r="AW82" s="8" t="str">
        <f>IF(OR(표1_3[[#This Row],[등급]]="명서",(표1_3[[#This Row],[등급]]="고급")),IF(AL82="","",AL82*$AR82),"")</f>
        <v/>
      </c>
      <c r="AX82" s="8" t="str">
        <f>IF(OR(표1_3[[#This Row],[등급]]="명서",(표1_3[[#This Row],[등급]]="고급")),IF(AM82="","",AM82*$AR82),"")</f>
        <v/>
      </c>
      <c r="AY82" s="8" t="str">
        <f>IF(OR(표1_3[[#This Row],[등급]]="명서",(표1_3[[#This Row],[등급]]="고급")),IF(AN82="","",AN82*$AR82),"")</f>
        <v/>
      </c>
      <c r="AZ82" s="8" t="str">
        <f>IF(OR(표1_3[[#This Row],[등급]]="명서",(표1_3[[#This Row],[등급]]="고급")),IF(AO82="","",AO82*$AR82),"")</f>
        <v/>
      </c>
      <c r="BA82" s="8" t="str">
        <f>IF(OR(표1_3[[#This Row],[등급]]="명서",(표1_3[[#This Row],[등급]]="고급")),IF(AP82="","",AP82*$AR82),"")</f>
        <v/>
      </c>
      <c r="BB82" s="8" t="str">
        <f>IF(OR(표1_3[[#This Row],[등급]]="명서",(표1_3[[#This Row],[등급]]="고급")),IF(AQ82="","",AQ82*$AR82),"")</f>
        <v/>
      </c>
    </row>
    <row r="83" spans="1:54" x14ac:dyDescent="0.3">
      <c r="A83" s="5" t="s">
        <v>114</v>
      </c>
      <c r="B83" s="6" t="s">
        <v>12</v>
      </c>
      <c r="C83" s="6" t="s">
        <v>787</v>
      </c>
      <c r="D83" s="105" t="s">
        <v>776</v>
      </c>
      <c r="E83" s="7">
        <f t="array" ref="E83">INDEX(표1[내 책 등급], MATCH(1, (표1[사용자] ='성장 시뮬레이터'!$B$1) * (표1[책이름] = D83), 0))</f>
        <v>5</v>
      </c>
      <c r="F83" s="106" t="s">
        <v>795</v>
      </c>
      <c r="G83" s="147">
        <v>95</v>
      </c>
      <c r="H83" s="142" t="str">
        <f>IF(ISNUMBER(SEARCH("여", F83)), IF(서책입력!$D$118=2, "O", "X"), "O")</f>
        <v>O</v>
      </c>
      <c r="I83" s="142" t="str">
        <f>IF(OR(ISNUMBER(SEARCH("위나라", F83)), ISNUMBER(SEARCH("촉나라", F83)), ISNUMBER(SEARCH("오나라", F83)), ISNUMBER(SEARCH("군웅", F83))), IF(ISNUMBER(SEARCH(서책입력!$D$119, F83)), "O", "X"), "O")</f>
        <v>O</v>
      </c>
      <c r="J83" s="147" t="str">
        <f>IF(
    AND(
        H83="O",
        I83="O",
        IF(ISNUMBER(SEARCH("무력+지력", F83)), (서책입력!$G$114+서책입력!$G$115) &gt;= G83,
           IF(ISNUMBER(SEARCH("무력", F83)), 서책입력!$G$114 &gt;= G83,
           IF(ISNUMBER(SEARCH("지력", F83)), 서책입력!$G$115 &gt;= G83,
           IF(ISNUMBER(SEARCH("내력", F83)), 서책입력!$G$116 &gt;= G83,
           IF(ISNUMBER(SEARCH("체력", F83)), 서책입력!$G$117 &gt;= G83, FALSE)))))
    ), "O", "X")</f>
        <v>X</v>
      </c>
      <c r="K83" s="142" t="str">
        <f>IF(
    AND(
        H83="O",
        I83="O",
        IF(ISNUMBER(SEARCH("무력+지력", F83)), (서책입력!$I$114+서책입력!$I$115) &gt;= G83,
           IF(ISNUMBER(SEARCH("무력", F83)), 서책입력!$I$114 &gt;= G83,
           IF(ISNUMBER(SEARCH("지력", F83)), 서책입력!$I$115 &gt;= G83,
           IF(ISNUMBER(SEARCH("내력", F83)), 서책입력!$I$116 &gt;= G83,
           IF(ISNUMBER(SEARCH("체력", F83)), 서책입력!$I$117 &gt;= G83, FALSE)))))
    ), "O", "X")</f>
        <v>X</v>
      </c>
      <c r="L83" s="147" t="str">
        <f>IF(
    AND(
        H83="O",
        I83="O",
        IF(ISNUMBER(SEARCH("무력+지력", F83)), (서책입력!$K$114+서책입력!$K$115) &gt;= G83,
           IF(ISNUMBER(SEARCH("무력", F83)), 서책입력!$K$114 &gt;= G83,
           IF(ISNUMBER(SEARCH("지력", F83)), 서책입력!$K$115 &gt;= G83,
           IF(ISNUMBER(SEARCH("내력", F83)), 서책입력!$K$116 &gt;= G83,
           IF(ISNUMBER(SEARCH("체력", F83)), 서책입력!$K$117 &gt;= G83, FALSE)))))
    ), "O", "X")</f>
        <v>X</v>
      </c>
      <c r="M83" s="147" t="str">
        <f>IF(
    AND(
        H83="O",
        I83="O",
        IF(ISNUMBER(SEARCH("무력+지력", F83)), (서책입력!$M$114+서책입력!$M$115) &gt;= G83,
           IF(ISNUMBER(SEARCH("무력", F83)), 서책입력!$M$114 &gt;= G83,
           IF(ISNUMBER(SEARCH("지력", F83)), 서책입력!$M$115 &gt;= G83,
           IF(ISNUMBER(SEARCH("내력", F83)), 서책입력!$M$116 &gt;= G83,
           IF(ISNUMBER(SEARCH("체력", F83)), 서책입력!$M$117 &gt;= G83, FALSE)))))
    ), "O", "X")</f>
        <v>X</v>
      </c>
      <c r="N83" s="147" t="str">
        <f>IF(
    AND(
        H83="O",
        I83="O",
        IF(ISNUMBER(SEARCH("무력+지력", F83)), (서책입력!$O$114+서책입력!$O$115) &gt;= G83,
           IF(ISNUMBER(SEARCH("무력", F83)), 서책입력!$O$114 &gt;= G83,
           IF(ISNUMBER(SEARCH("지력", F83)), 서책입력!$O$115 &gt;= G83,
           IF(ISNUMBER(SEARCH("내력", F83)), 서책입력!$O$116 &gt;= G83,
           IF(ISNUMBER(SEARCH("체력", F83)), 서책입력!$O$117 &gt;= G83, FALSE)))))
    ), "O", "X")</f>
        <v>X</v>
      </c>
      <c r="O83" s="147" t="str">
        <f>IF(
    AND(
        H83="O",
        I83="O",
        IF(ISNUMBER(SEARCH("무력+지력", F83)), (서책입력!$R$114+서책입력!$R$115) &gt;= G83,
           IF(ISNUMBER(SEARCH("무력", F83)), 서책입력!$R$114 &gt;= G83,
           IF(ISNUMBER(SEARCH("지력", F83)), 서책입력!$R$115 &gt;= G83,
           IF(ISNUMBER(SEARCH("내력", F83)), 서책입력!$R$116 &gt;= G83,
           IF(ISNUMBER(SEARCH("체력", F83)), 서책입력!$R$117 &gt;= G83, FALSE)))))
    ), "O", "X")</f>
        <v>X</v>
      </c>
      <c r="P83" s="147" t="s">
        <v>905</v>
      </c>
      <c r="Q83" s="147">
        <f t="shared" si="24"/>
        <v>40</v>
      </c>
      <c r="R83" s="147" t="str">
        <f t="shared" si="24"/>
        <v/>
      </c>
      <c r="S83" s="147" t="str">
        <f t="shared" si="24"/>
        <v/>
      </c>
      <c r="T83" s="147" t="str">
        <f t="shared" si="24"/>
        <v/>
      </c>
      <c r="U83" s="147">
        <f t="shared" si="24"/>
        <v>20</v>
      </c>
      <c r="V83" s="147" t="str">
        <f t="shared" si="24"/>
        <v/>
      </c>
      <c r="W83" s="147" t="str">
        <f t="shared" si="24"/>
        <v/>
      </c>
      <c r="X83" s="147" t="str">
        <f t="shared" si="24"/>
        <v/>
      </c>
      <c r="Y83" s="147" t="str">
        <f t="shared" si="24"/>
        <v/>
      </c>
      <c r="Z83" s="147" t="str">
        <f t="shared" si="24"/>
        <v/>
      </c>
      <c r="AA83" s="108" t="s">
        <v>920</v>
      </c>
      <c r="AB83" s="107"/>
      <c r="AC83" s="107"/>
      <c r="AD83" s="107"/>
      <c r="AE83" s="107"/>
      <c r="AF83" s="145" t="s">
        <v>796</v>
      </c>
      <c r="AH83" s="8">
        <v>40</v>
      </c>
      <c r="AI83" s="8"/>
      <c r="AJ83" s="8"/>
      <c r="AK83" s="8"/>
      <c r="AL83" s="8">
        <v>20</v>
      </c>
      <c r="AM83" s="8"/>
      <c r="AN83" s="8"/>
      <c r="AO83" s="8"/>
      <c r="AP83" s="8"/>
      <c r="AQ83" s="8"/>
      <c r="AR83" s="103">
        <v>1.5</v>
      </c>
      <c r="AS83" s="8">
        <f>IF(OR(표1_3[[#This Row],[등급]]="명서",(표1_3[[#This Row],[등급]]="고급")),IF(AH83="","",AH83*$AR83),"")</f>
        <v>60</v>
      </c>
      <c r="AT83" s="8" t="str">
        <f>IF(OR(표1_3[[#This Row],[등급]]="명서",(표1_3[[#This Row],[등급]]="고급")),IF(AI83="","",AI83*$AR83),"")</f>
        <v/>
      </c>
      <c r="AU83" s="8" t="str">
        <f>IF(OR(표1_3[[#This Row],[등급]]="명서",(표1_3[[#This Row],[등급]]="고급")),IF(AJ83="","",AJ83*$AR83),"")</f>
        <v/>
      </c>
      <c r="AV83" s="8" t="str">
        <f>IF(OR(표1_3[[#This Row],[등급]]="명서",(표1_3[[#This Row],[등급]]="고급")),IF(AK83="","",AK83*$AR83),"")</f>
        <v/>
      </c>
      <c r="AW83" s="8">
        <f>IF(OR(표1_3[[#This Row],[등급]]="명서",(표1_3[[#This Row],[등급]]="고급")),IF(AL83="","",AL83*$AR83),"")</f>
        <v>30</v>
      </c>
      <c r="AX83" s="8" t="str">
        <f>IF(OR(표1_3[[#This Row],[등급]]="명서",(표1_3[[#This Row],[등급]]="고급")),IF(AM83="","",AM83*$AR83),"")</f>
        <v/>
      </c>
      <c r="AY83" s="8" t="str">
        <f>IF(OR(표1_3[[#This Row],[등급]]="명서",(표1_3[[#This Row],[등급]]="고급")),IF(AN83="","",AN83*$AR83),"")</f>
        <v/>
      </c>
      <c r="AZ83" s="8" t="str">
        <f>IF(OR(표1_3[[#This Row],[등급]]="명서",(표1_3[[#This Row],[등급]]="고급")),IF(AO83="","",AO83*$AR83),"")</f>
        <v/>
      </c>
      <c r="BA83" s="8" t="str">
        <f>IF(OR(표1_3[[#This Row],[등급]]="명서",(표1_3[[#This Row],[등급]]="고급")),IF(AP83="","",AP83*$AR83),"")</f>
        <v/>
      </c>
      <c r="BB83" s="8" t="str">
        <f>IF(OR(표1_3[[#This Row],[등급]]="명서",(표1_3[[#This Row],[등급]]="고급")),IF(AQ83="","",AQ83*$AR83),"")</f>
        <v/>
      </c>
    </row>
    <row r="84" spans="1:54" x14ac:dyDescent="0.3">
      <c r="A84" s="5" t="s">
        <v>114</v>
      </c>
      <c r="B84" s="6" t="s">
        <v>12</v>
      </c>
      <c r="C84" s="6" t="s">
        <v>786</v>
      </c>
      <c r="D84" s="105" t="s">
        <v>783</v>
      </c>
      <c r="E84" s="7">
        <f t="array" ref="E84">INDEX(표1[내 책 등급], MATCH(1, (표1[사용자] ='성장 시뮬레이터'!$B$1) * (표1[책이름] = D84), 0))</f>
        <v>0</v>
      </c>
      <c r="F84" s="106" t="s">
        <v>173</v>
      </c>
      <c r="G84" s="106">
        <v>100</v>
      </c>
      <c r="H84" s="8" t="str">
        <f>IF(ISNUMBER(SEARCH("여", F84)), IF(서책입력!$D$118=2, "O", "X"), "O")</f>
        <v>O</v>
      </c>
      <c r="I84" s="8" t="str">
        <f>IF(OR(ISNUMBER(SEARCH("위나라", F84)), ISNUMBER(SEARCH("촉나라", F84)), ISNUMBER(SEARCH("오나라", F84)), ISNUMBER(SEARCH("군웅", F84))), IF(ISNUMBER(SEARCH(서책입력!$D$119, F84)), "O", "X"), "O")</f>
        <v>O</v>
      </c>
      <c r="J84" s="106" t="str">
        <f>IF(
    AND(
        H84="O",
        I84="O",
        IF(ISNUMBER(SEARCH("무력+지력", F84)), (서책입력!$G$114+서책입력!$G$115) &gt;= G84,
           IF(ISNUMBER(SEARCH("무력", F84)), 서책입력!$G$114 &gt;= G84,
           IF(ISNUMBER(SEARCH("지력", F84)), 서책입력!$G$115 &gt;= G84,
           IF(ISNUMBER(SEARCH("내력", F84)), 서책입력!$G$116 &gt;= G84,
           IF(ISNUMBER(SEARCH("체력", F84)), 서책입력!$G$117 &gt;= G84, FALSE)))))
    ), "O", "X")</f>
        <v>X</v>
      </c>
      <c r="K84" s="8" t="str">
        <f>IF(
    AND(
        H84="O",
        I84="O",
        IF(ISNUMBER(SEARCH("무력+지력", F84)), (서책입력!$I$114+서책입력!$I$115) &gt;= G84,
           IF(ISNUMBER(SEARCH("무력", F84)), 서책입력!$I$114 &gt;= G84,
           IF(ISNUMBER(SEARCH("지력", F84)), 서책입력!$I$115 &gt;= G84,
           IF(ISNUMBER(SEARCH("내력", F84)), 서책입력!$I$116 &gt;= G84,
           IF(ISNUMBER(SEARCH("체력", F84)), 서책입력!$I$117 &gt;= G84, FALSE)))))
    ), "O", "X")</f>
        <v>X</v>
      </c>
      <c r="L84" s="106" t="str">
        <f>IF(
    AND(
        H84="O",
        I84="O",
        IF(ISNUMBER(SEARCH("무력+지력", F84)), (서책입력!$K$114+서책입력!$K$115) &gt;= G84,
           IF(ISNUMBER(SEARCH("무력", F84)), 서책입력!$K$114 &gt;= G84,
           IF(ISNUMBER(SEARCH("지력", F84)), 서책입력!$K$115 &gt;= G84,
           IF(ISNUMBER(SEARCH("내력", F84)), 서책입력!$K$116 &gt;= G84,
           IF(ISNUMBER(SEARCH("체력", F84)), 서책입력!$K$117 &gt;= G84, FALSE)))))
    ), "O", "X")</f>
        <v>X</v>
      </c>
      <c r="M84" s="106" t="str">
        <f>IF(
    AND(
        H84="O",
        I84="O",
        IF(ISNUMBER(SEARCH("무력+지력", F84)), (서책입력!$M$114+서책입력!$M$115) &gt;= G84,
           IF(ISNUMBER(SEARCH("무력", F84)), 서책입력!$M$114 &gt;= G84,
           IF(ISNUMBER(SEARCH("지력", F84)), 서책입력!$M$115 &gt;= G84,
           IF(ISNUMBER(SEARCH("내력", F84)), 서책입력!$M$116 &gt;= G84,
           IF(ISNUMBER(SEARCH("체력", F84)), 서책입력!$M$117 &gt;= G84, FALSE)))))
    ), "O", "X")</f>
        <v>X</v>
      </c>
      <c r="N84" s="106" t="str">
        <f>IF(
    AND(
        H84="O",
        I84="O",
        IF(ISNUMBER(SEARCH("무력+지력", F84)), (서책입력!$O$114+서책입력!$O$115) &gt;= G84,
           IF(ISNUMBER(SEARCH("무력", F84)), 서책입력!$O$114 &gt;= G84,
           IF(ISNUMBER(SEARCH("지력", F84)), 서책입력!$O$115 &gt;= G84,
           IF(ISNUMBER(SEARCH("내력", F84)), 서책입력!$O$116 &gt;= G84,
           IF(ISNUMBER(SEARCH("체력", F84)), 서책입력!$O$117 &gt;= G84, FALSE)))))
    ), "O", "X")</f>
        <v>X</v>
      </c>
      <c r="O84" s="106" t="str">
        <f>IF(
    AND(
        H84="O",
        I84="O",
        IF(ISNUMBER(SEARCH("무력+지력", F84)), (서책입력!$R$114+서책입력!$R$115) &gt;= G84,
           IF(ISNUMBER(SEARCH("무력", F84)), 서책입력!$R$114 &gt;= G84,
           IF(ISNUMBER(SEARCH("지력", F84)), 서책입력!$R$115 &gt;= G84,
           IF(ISNUMBER(SEARCH("내력", F84)), 서책입력!$R$116 &gt;= G84,
           IF(ISNUMBER(SEARCH("체력", F84)), 서책입력!$R$117 &gt;= G84, FALSE)))))
    ), "O", "X")</f>
        <v>X</v>
      </c>
      <c r="P84" s="106" t="s">
        <v>905</v>
      </c>
      <c r="Q84" s="106" t="str">
        <f t="shared" si="24"/>
        <v/>
      </c>
      <c r="R84" s="106" t="str">
        <f t="shared" si="24"/>
        <v/>
      </c>
      <c r="S84" s="106" t="str">
        <f t="shared" si="24"/>
        <v/>
      </c>
      <c r="T84" s="106" t="str">
        <f t="shared" si="24"/>
        <v/>
      </c>
      <c r="U84" s="106" t="str">
        <f t="shared" si="24"/>
        <v/>
      </c>
      <c r="V84" s="106" t="str">
        <f t="shared" si="24"/>
        <v/>
      </c>
      <c r="W84" s="106" t="str">
        <f t="shared" si="24"/>
        <v/>
      </c>
      <c r="X84" s="106" t="str">
        <f t="shared" si="24"/>
        <v/>
      </c>
      <c r="Y84" s="106" t="str">
        <f t="shared" si="24"/>
        <v/>
      </c>
      <c r="Z84" s="106" t="str">
        <f t="shared" si="24"/>
        <v/>
      </c>
      <c r="AA84" s="108" t="s">
        <v>921</v>
      </c>
      <c r="AB84" s="107"/>
      <c r="AC84" s="107"/>
      <c r="AD84" s="107"/>
      <c r="AE84" s="107"/>
      <c r="AF84" s="145" t="s">
        <v>919</v>
      </c>
      <c r="AH84" s="8"/>
      <c r="AI84" s="8">
        <v>40</v>
      </c>
      <c r="AJ84" s="8"/>
      <c r="AK84" s="8"/>
      <c r="AL84" s="8">
        <v>20</v>
      </c>
      <c r="AM84" s="8"/>
      <c r="AN84" s="8"/>
      <c r="AO84" s="8"/>
      <c r="AP84" s="8"/>
      <c r="AQ84" s="8"/>
      <c r="AR84" s="103">
        <v>1.5</v>
      </c>
      <c r="AS84" s="8" t="str">
        <f>IF(OR(표1_3[[#This Row],[등급]]="명서",(표1_3[[#This Row],[등급]]="고급")),IF(AH84="","",AH84*$AR84),"")</f>
        <v/>
      </c>
      <c r="AT84" s="8">
        <f>IF(OR(표1_3[[#This Row],[등급]]="명서",(표1_3[[#This Row],[등급]]="고급")),IF(AI84="","",AI84*$AR84),"")</f>
        <v>60</v>
      </c>
      <c r="AU84" s="8" t="str">
        <f>IF(OR(표1_3[[#This Row],[등급]]="명서",(표1_3[[#This Row],[등급]]="고급")),IF(AJ84="","",AJ84*$AR84),"")</f>
        <v/>
      </c>
      <c r="AV84" s="8" t="str">
        <f>IF(OR(표1_3[[#This Row],[등급]]="명서",(표1_3[[#This Row],[등급]]="고급")),IF(AK84="","",AK84*$AR84),"")</f>
        <v/>
      </c>
      <c r="AW84" s="8">
        <f>IF(OR(표1_3[[#This Row],[등급]]="명서",(표1_3[[#This Row],[등급]]="고급")),IF(AL84="","",AL84*$AR84),"")</f>
        <v>30</v>
      </c>
      <c r="AX84" s="8" t="str">
        <f>IF(OR(표1_3[[#This Row],[등급]]="명서",(표1_3[[#This Row],[등급]]="고급")),IF(AM84="","",AM84*$AR84),"")</f>
        <v/>
      </c>
      <c r="AY84" s="8" t="str">
        <f>IF(OR(표1_3[[#This Row],[등급]]="명서",(표1_3[[#This Row],[등급]]="고급")),IF(AN84="","",AN84*$AR84),"")</f>
        <v/>
      </c>
      <c r="AZ84" s="8" t="str">
        <f>IF(OR(표1_3[[#This Row],[등급]]="명서",(표1_3[[#This Row],[등급]]="고급")),IF(AO84="","",AO84*$AR84),"")</f>
        <v/>
      </c>
      <c r="BA84" s="8" t="str">
        <f>IF(OR(표1_3[[#This Row],[등급]]="명서",(표1_3[[#This Row],[등급]]="고급")),IF(AP84="","",AP84*$AR84),"")</f>
        <v/>
      </c>
      <c r="BB84" s="8" t="str">
        <f>IF(OR(표1_3[[#This Row],[등급]]="명서",(표1_3[[#This Row],[등급]]="고급")),IF(AQ84="","",AQ84*$AR84),"")</f>
        <v/>
      </c>
    </row>
    <row r="85" spans="1:54" x14ac:dyDescent="0.3">
      <c r="A85" s="5" t="s">
        <v>114</v>
      </c>
      <c r="B85" s="6" t="s">
        <v>12</v>
      </c>
      <c r="C85" s="6" t="s">
        <v>786</v>
      </c>
      <c r="D85" s="105" t="s">
        <v>784</v>
      </c>
      <c r="E85" s="7">
        <f t="array" ref="E85">INDEX(표1[내 책 등급], MATCH(1, (표1[사용자] ='성장 시뮬레이터'!$B$1) * (표1[책이름] = D85), 0))</f>
        <v>5</v>
      </c>
      <c r="F85" s="106" t="s">
        <v>175</v>
      </c>
      <c r="G85" s="106">
        <v>98</v>
      </c>
      <c r="H85" s="8" t="str">
        <f>IF(ISNUMBER(SEARCH("여", F85)), IF(서책입력!$D$118=2, "O", "X"), "O")</f>
        <v>O</v>
      </c>
      <c r="I85" s="8" t="str">
        <f>IF(OR(ISNUMBER(SEARCH("위나라", F85)), ISNUMBER(SEARCH("촉나라", F85)), ISNUMBER(SEARCH("오나라", F85)), ISNUMBER(SEARCH("군웅", F85))), IF(ISNUMBER(SEARCH(서책입력!$D$119, F85)), "O", "X"), "O")</f>
        <v>O</v>
      </c>
      <c r="J85" s="106" t="str">
        <f>IF(
    AND(
        H85="O",
        I85="O",
        IF(ISNUMBER(SEARCH("무력+지력", F85)), (서책입력!$G$114+서책입력!$G$115) &gt;= G85,
           IF(ISNUMBER(SEARCH("무력", F85)), 서책입력!$G$114 &gt;= G85,
           IF(ISNUMBER(SEARCH("지력", F85)), 서책입력!$G$115 &gt;= G85,
           IF(ISNUMBER(SEARCH("내력", F85)), 서책입력!$G$116 &gt;= G85,
           IF(ISNUMBER(SEARCH("체력", F85)), 서책입력!$G$117 &gt;= G85, FALSE)))))
    ), "O", "X")</f>
        <v>X</v>
      </c>
      <c r="K85" s="8" t="str">
        <f>IF(
    AND(
        H85="O",
        I85="O",
        IF(ISNUMBER(SEARCH("무력+지력", F85)), (서책입력!$I$114+서책입력!$I$115) &gt;= G85,
           IF(ISNUMBER(SEARCH("무력", F85)), 서책입력!$I$114 &gt;= G85,
           IF(ISNUMBER(SEARCH("지력", F85)), 서책입력!$I$115 &gt;= G85,
           IF(ISNUMBER(SEARCH("내력", F85)), 서책입력!$I$116 &gt;= G85,
           IF(ISNUMBER(SEARCH("체력", F85)), 서책입력!$I$117 &gt;= G85, FALSE)))))
    ), "O", "X")</f>
        <v>X</v>
      </c>
      <c r="L85" s="106" t="str">
        <f>IF(
    AND(
        H85="O",
        I85="O",
        IF(ISNUMBER(SEARCH("무력+지력", F85)), (서책입력!$K$114+서책입력!$K$115) &gt;= G85,
           IF(ISNUMBER(SEARCH("무력", F85)), 서책입력!$K$114 &gt;= G85,
           IF(ISNUMBER(SEARCH("지력", F85)), 서책입력!$K$115 &gt;= G85,
           IF(ISNUMBER(SEARCH("내력", F85)), 서책입력!$K$116 &gt;= G85,
           IF(ISNUMBER(SEARCH("체력", F85)), 서책입력!$K$117 &gt;= G85, FALSE)))))
    ), "O", "X")</f>
        <v>X</v>
      </c>
      <c r="M85" s="106" t="str">
        <f>IF(
    AND(
        H85="O",
        I85="O",
        IF(ISNUMBER(SEARCH("무력+지력", F85)), (서책입력!$M$114+서책입력!$M$115) &gt;= G85,
           IF(ISNUMBER(SEARCH("무력", F85)), 서책입력!$M$114 &gt;= G85,
           IF(ISNUMBER(SEARCH("지력", F85)), 서책입력!$M$115 &gt;= G85,
           IF(ISNUMBER(SEARCH("내력", F85)), 서책입력!$M$116 &gt;= G85,
           IF(ISNUMBER(SEARCH("체력", F85)), 서책입력!$M$117 &gt;= G85, FALSE)))))
    ), "O", "X")</f>
        <v>X</v>
      </c>
      <c r="N85" s="106" t="str">
        <f>IF(
    AND(
        H85="O",
        I85="O",
        IF(ISNUMBER(SEARCH("무력+지력", F85)), (서책입력!$O$114+서책입력!$O$115) &gt;= G85,
           IF(ISNUMBER(SEARCH("무력", F85)), 서책입력!$O$114 &gt;= G85,
           IF(ISNUMBER(SEARCH("지력", F85)), 서책입력!$O$115 &gt;= G85,
           IF(ISNUMBER(SEARCH("내력", F85)), 서책입력!$O$116 &gt;= G85,
           IF(ISNUMBER(SEARCH("체력", F85)), 서책입력!$O$117 &gt;= G85, FALSE)))))
    ), "O", "X")</f>
        <v>X</v>
      </c>
      <c r="O85" s="106" t="str">
        <f>IF(
    AND(
        H85="O",
        I85="O",
        IF(ISNUMBER(SEARCH("무력+지력", F85)), (서책입력!$R$114+서책입력!$R$115) &gt;= G85,
           IF(ISNUMBER(SEARCH("무력", F85)), 서책입력!$R$114 &gt;= G85,
           IF(ISNUMBER(SEARCH("지력", F85)), 서책입력!$R$115 &gt;= G85,
           IF(ISNUMBER(SEARCH("내력", F85)), 서책입력!$R$116 &gt;= G85,
           IF(ISNUMBER(SEARCH("체력", F85)), 서책입력!$R$117 &gt;= G85, FALSE)))))
    ), "O", "X")</f>
        <v>X</v>
      </c>
      <c r="P85" s="106" t="s">
        <v>905</v>
      </c>
      <c r="Q85" s="106">
        <f t="shared" si="24"/>
        <v>40</v>
      </c>
      <c r="R85" s="106" t="str">
        <f t="shared" si="24"/>
        <v/>
      </c>
      <c r="S85" s="106" t="str">
        <f t="shared" si="24"/>
        <v/>
      </c>
      <c r="T85" s="106" t="str">
        <f t="shared" si="24"/>
        <v/>
      </c>
      <c r="U85" s="106" t="str">
        <f t="shared" si="24"/>
        <v/>
      </c>
      <c r="V85" s="106" t="str">
        <f t="shared" si="24"/>
        <v/>
      </c>
      <c r="W85" s="106" t="str">
        <f t="shared" si="24"/>
        <v/>
      </c>
      <c r="X85" s="106" t="str">
        <f t="shared" si="24"/>
        <v/>
      </c>
      <c r="Y85" s="106">
        <f t="shared" si="24"/>
        <v>20</v>
      </c>
      <c r="Z85" s="106" t="str">
        <f t="shared" si="24"/>
        <v/>
      </c>
      <c r="AA85" s="108" t="s">
        <v>204</v>
      </c>
      <c r="AB85" s="107"/>
      <c r="AC85" s="107"/>
      <c r="AD85" s="107"/>
      <c r="AE85" s="107"/>
      <c r="AF85" s="108" t="s">
        <v>205</v>
      </c>
      <c r="AH85" s="8">
        <v>40</v>
      </c>
      <c r="AI85" s="8"/>
      <c r="AJ85" s="8"/>
      <c r="AK85" s="8"/>
      <c r="AL85" s="8"/>
      <c r="AM85" s="8"/>
      <c r="AN85" s="8"/>
      <c r="AO85" s="8"/>
      <c r="AP85" s="8">
        <v>20</v>
      </c>
      <c r="AQ85" s="8"/>
      <c r="AR85" s="103">
        <v>1.5</v>
      </c>
      <c r="AS85" s="8">
        <f>IF(OR(표1_3[[#This Row],[등급]]="명서",(표1_3[[#This Row],[등급]]="고급")),IF(AH85="","",AH85*$AR85),"")</f>
        <v>60</v>
      </c>
      <c r="AT85" s="8" t="str">
        <f>IF(OR(표1_3[[#This Row],[등급]]="명서",(표1_3[[#This Row],[등급]]="고급")),IF(AI85="","",AI85*$AR85),"")</f>
        <v/>
      </c>
      <c r="AU85" s="8" t="str">
        <f>IF(OR(표1_3[[#This Row],[등급]]="명서",(표1_3[[#This Row],[등급]]="고급")),IF(AJ85="","",AJ85*$AR85),"")</f>
        <v/>
      </c>
      <c r="AV85" s="8" t="str">
        <f>IF(OR(표1_3[[#This Row],[등급]]="명서",(표1_3[[#This Row],[등급]]="고급")),IF(AK85="","",AK85*$AR85),"")</f>
        <v/>
      </c>
      <c r="AW85" s="8" t="str">
        <f>IF(OR(표1_3[[#This Row],[등급]]="명서",(표1_3[[#This Row],[등급]]="고급")),IF(AL85="","",AL85*$AR85),"")</f>
        <v/>
      </c>
      <c r="AX85" s="8" t="str">
        <f>IF(OR(표1_3[[#This Row],[등급]]="명서",(표1_3[[#This Row],[등급]]="고급")),IF(AM85="","",AM85*$AR85),"")</f>
        <v/>
      </c>
      <c r="AY85" s="8" t="str">
        <f>IF(OR(표1_3[[#This Row],[등급]]="명서",(표1_3[[#This Row],[등급]]="고급")),IF(AN85="","",AN85*$AR85),"")</f>
        <v/>
      </c>
      <c r="AZ85" s="8" t="str">
        <f>IF(OR(표1_3[[#This Row],[등급]]="명서",(표1_3[[#This Row],[등급]]="고급")),IF(AO85="","",AO85*$AR85),"")</f>
        <v/>
      </c>
      <c r="BA85" s="8">
        <f>IF(OR(표1_3[[#This Row],[등급]]="명서",(표1_3[[#This Row],[등급]]="고급")),IF(AP85="","",AP85*$AR85),"")</f>
        <v>30</v>
      </c>
      <c r="BB85" s="8" t="str">
        <f>IF(OR(표1_3[[#This Row],[등급]]="명서",(표1_3[[#This Row],[등급]]="고급")),IF(AQ85="","",AQ85*$AR85),"")</f>
        <v/>
      </c>
    </row>
    <row r="86" spans="1:54" x14ac:dyDescent="0.3">
      <c r="A86" s="5" t="s">
        <v>114</v>
      </c>
      <c r="B86" s="6" t="s">
        <v>34</v>
      </c>
      <c r="C86" s="203" t="s">
        <v>799</v>
      </c>
      <c r="D86" s="7" t="s">
        <v>134</v>
      </c>
      <c r="E86" s="7">
        <f t="array" ref="E86">INDEX(표1[내 책 등급], MATCH(1, (표1[사용자] ='성장 시뮬레이터'!$B$1) * (표1[책이름] = D86), 0))</f>
        <v>10</v>
      </c>
      <c r="F86" s="6" t="s">
        <v>21</v>
      </c>
      <c r="G86" s="142">
        <v>89</v>
      </c>
      <c r="H86" s="8" t="str">
        <f>IF(ISNUMBER(SEARCH("여", F86)), IF('성장 시뮬레이터'!$C$9=2, "O", "X"), "O")</f>
        <v>O</v>
      </c>
      <c r="I86" s="8" t="str">
        <f>IF(OR(ISNUMBER(SEARCH("위나라", F86)), ISNUMBER(SEARCH("촉나라", F86)), ISNUMBER(SEARCH("오나라", F86)), ISNUMBER(SEARCH("군웅", F86))), IF(ISNUMBER(SEARCH('성장 시뮬레이터'!$C$10, F86)), "O", "X"), "O")</f>
        <v>O</v>
      </c>
      <c r="J86" s="8" t="str">
        <f>IF(
    AND(
        H86="O",
        I86="O",
        IF(ISNUMBER(SEARCH("무력+지력", F86)), ('성장 시뮬레이터'!$G$5+'성장 시뮬레이터'!$G$6) &gt;= G86,
           IF(ISNUMBER(SEARCH("무력", F86)), '성장 시뮬레이터'!$G$5 &gt;= G86,
           IF(ISNUMBER(SEARCH("지력", F86)), '성장 시뮬레이터'!$G$6 &gt;= G86,
           IF(ISNUMBER(SEARCH("내력", F86)), '성장 시뮬레이터'!$G$7 &gt;= G86,
           IF(ISNUMBER(SEARCH("체력", F86)), '성장 시뮬레이터'!$G$8 &gt;= G86, FALSE)))))
    ), "O", "X")</f>
        <v>X</v>
      </c>
      <c r="K86" s="106" t="str">
        <f>IF(
    AND(
        H86="O",
        I86="O",
        IF(ISNUMBER(SEARCH("무력+지력", F86)), ('성장 시뮬레이터'!$I$5+'성장 시뮬레이터'!$I$6) &gt;= G86,
           IF(ISNUMBER(SEARCH("무력", F86)), '성장 시뮬레이터'!$I$5 &gt;= G86,
           IF(ISNUMBER(SEARCH("지력", F86)), '성장 시뮬레이터'!$I$6 &gt;= G86,
           IF(ISNUMBER(SEARCH("내력", F86)), '성장 시뮬레이터'!$I$7 &gt;= G86,
           IF(ISNUMBER(SEARCH("체력", F86)), '성장 시뮬레이터'!$I$8 &gt;= G86, FALSE)))))
    ), "O", "X")</f>
        <v>X</v>
      </c>
      <c r="L86" s="106" t="str">
        <f>IF(
    AND(
        H86="O",
        I86="O",
        IF(ISNUMBER(SEARCH("무력+지력", F86)), ('성장 시뮬레이터'!$K$5+'성장 시뮬레이터'!$K$6) &gt;= G86,
           IF(ISNUMBER(SEARCH("무력", F86)), '성장 시뮬레이터'!$K$5 &gt;= G86,
           IF(ISNUMBER(SEARCH("지력", F86)), '성장 시뮬레이터'!$K$6 &gt;= G86,
           IF(ISNUMBER(SEARCH("내력", F86)), '성장 시뮬레이터'!$K$7 &gt;= G86,
           IF(ISNUMBER(SEARCH("체력", F86)), '성장 시뮬레이터'!$K$8 &gt;= G86, FALSE)))))
    ), "O", "X")</f>
        <v>O</v>
      </c>
      <c r="M86" s="106" t="str">
        <f>IF(
    AND(
        H86="O",
        I86="O",
        IF(ISNUMBER(SEARCH("무력+지력", F86)), ('성장 시뮬레이터'!$M$5+'성장 시뮬레이터'!$M$6) &gt;= G86,
           IF(ISNUMBER(SEARCH("무력", F86)), '성장 시뮬레이터'!$M$5 &gt;= G86,
           IF(ISNUMBER(SEARCH("지력", F86)), '성장 시뮬레이터'!$M$6 &gt;= G86,
           IF(ISNUMBER(SEARCH("내력", F86)), '성장 시뮬레이터'!$M$7 &gt;= G86,
           IF(ISNUMBER(SEARCH("체력", F86)), '성장 시뮬레이터'!$M$8 &gt;= G86, FALSE)))))
    ), "O", "X")</f>
        <v>O</v>
      </c>
      <c r="N86" s="106" t="str">
        <f>IF(
    AND(
        H86="O",
        I86="O",
        IF(ISNUMBER(SEARCH("무력+지력", F86)), ('성장 시뮬레이터'!$O$5+'성장 시뮬레이터'!$O$6) &gt;= G86,
           IF(ISNUMBER(SEARCH("무력", F86)), '성장 시뮬레이터'!$O$5 &gt;= G86,
           IF(ISNUMBER(SEARCH("지력", F86)), '성장 시뮬레이터'!$O$6 &gt;= G86,
           IF(ISNUMBER(SEARCH("내력", F86)), '성장 시뮬레이터'!$O$7 &gt;= G86,
           IF(ISNUMBER(SEARCH("체력", F86)), '성장 시뮬레이터'!$O$8 &gt;= G86, FALSE)))))
    ), "O", "X")</f>
        <v>O</v>
      </c>
      <c r="O86" s="106" t="str">
        <f>IF(
    AND(
        H86="O",
        I86="O",
        IF(ISNUMBER(SEARCH("무력+지력", F86)), ('성장 시뮬레이터'!$Q$5+'성장 시뮬레이터'!$Q$6) &gt;= G86,
           IF(ISNUMBER(SEARCH("무력", F86)), '성장 시뮬레이터'!$Q$5 &gt;= G86,
           IF(ISNUMBER(SEARCH("지력", F86)), '성장 시뮬레이터'!$Q$6 &gt;= G86,
           IF(ISNUMBER(SEARCH("내력", F86)), '성장 시뮬레이터'!$Q$7 &gt;= G86,
           IF(ISNUMBER(SEARCH("체력", F86)), '성장 시뮬레이터'!$Q$8 &gt;= G86, FALSE)))))
    ), "O", "X")</f>
        <v>O</v>
      </c>
      <c r="P86" s="106" t="s">
        <v>904</v>
      </c>
      <c r="Q86" s="142">
        <f t="shared" si="12"/>
        <v>155</v>
      </c>
      <c r="R86" s="142" t="str">
        <f t="shared" si="13"/>
        <v/>
      </c>
      <c r="S86" s="142" t="str">
        <f t="shared" si="14"/>
        <v/>
      </c>
      <c r="T86" s="142" t="str">
        <f t="shared" si="15"/>
        <v/>
      </c>
      <c r="U86" s="142" t="str">
        <f t="shared" si="16"/>
        <v/>
      </c>
      <c r="V86" s="142">
        <f t="shared" si="17"/>
        <v>310</v>
      </c>
      <c r="W86" s="142" t="str">
        <f t="shared" si="18"/>
        <v/>
      </c>
      <c r="X86" s="142" t="str">
        <f t="shared" si="19"/>
        <v/>
      </c>
      <c r="Y86" s="142" t="str">
        <f t="shared" si="20"/>
        <v/>
      </c>
      <c r="Z86" s="142" t="str">
        <f t="shared" si="21"/>
        <v/>
      </c>
      <c r="AA86" s="11" t="s">
        <v>135</v>
      </c>
      <c r="AB86" s="11"/>
      <c r="AC86" s="11"/>
      <c r="AD86" s="11"/>
      <c r="AE86" s="12"/>
      <c r="AF86" s="144" t="s">
        <v>136</v>
      </c>
      <c r="AH86" s="8">
        <v>25</v>
      </c>
      <c r="AI86" s="8"/>
      <c r="AJ86" s="8"/>
      <c r="AK86" s="8"/>
      <c r="AL86" s="8"/>
      <c r="AM86" s="8">
        <v>50</v>
      </c>
      <c r="AN86" s="8"/>
      <c r="AO86" s="8"/>
      <c r="AP86" s="8"/>
      <c r="AQ86" s="8"/>
      <c r="AR86" s="104" t="s">
        <v>647</v>
      </c>
      <c r="AS86" s="8">
        <v>30</v>
      </c>
      <c r="AT86" s="8"/>
      <c r="AU86" s="8"/>
      <c r="AV86" s="8"/>
      <c r="AW86" s="8"/>
      <c r="AX86" s="8">
        <v>60</v>
      </c>
      <c r="AY86" s="8"/>
      <c r="AZ86" s="8"/>
      <c r="BA86" s="8"/>
      <c r="BB86" s="8"/>
    </row>
    <row r="87" spans="1:54" x14ac:dyDescent="0.3">
      <c r="A87" s="5" t="s">
        <v>114</v>
      </c>
      <c r="B87" s="6" t="s">
        <v>34</v>
      </c>
      <c r="C87" s="203" t="s">
        <v>799</v>
      </c>
      <c r="D87" s="7" t="s">
        <v>137</v>
      </c>
      <c r="E87" s="7">
        <f t="array" ref="E87">INDEX(표1[내 책 등급], MATCH(1, (표1[사용자] ='성장 시뮬레이터'!$B$1) * (표1[책이름] = D87), 0))</f>
        <v>10</v>
      </c>
      <c r="F87" s="6" t="s">
        <v>14</v>
      </c>
      <c r="G87" s="142">
        <v>89</v>
      </c>
      <c r="H87" s="8" t="str">
        <f>IF(ISNUMBER(SEARCH("여", F87)), IF('성장 시뮬레이터'!$C$9=2, "O", "X"), "O")</f>
        <v>O</v>
      </c>
      <c r="I87" s="8" t="str">
        <f>IF(OR(ISNUMBER(SEARCH("위나라", F87)), ISNUMBER(SEARCH("촉나라", F87)), ISNUMBER(SEARCH("오나라", F87)), ISNUMBER(SEARCH("군웅", F87))), IF(ISNUMBER(SEARCH('성장 시뮬레이터'!$C$10, F87)), "O", "X"), "O")</f>
        <v>O</v>
      </c>
      <c r="J87" s="8" t="str">
        <f>IF(
    AND(
        H87="O",
        I87="O",
        IF(ISNUMBER(SEARCH("무력+지력", F87)), ('성장 시뮬레이터'!$G$5+'성장 시뮬레이터'!$G$6) &gt;= G87,
           IF(ISNUMBER(SEARCH("무력", F87)), '성장 시뮬레이터'!$G$5 &gt;= G87,
           IF(ISNUMBER(SEARCH("지력", F87)), '성장 시뮬레이터'!$G$6 &gt;= G87,
           IF(ISNUMBER(SEARCH("내력", F87)), '성장 시뮬레이터'!$G$7 &gt;= G87,
           IF(ISNUMBER(SEARCH("체력", F87)), '성장 시뮬레이터'!$G$8 &gt;= G87, FALSE)))))
    ), "O", "X")</f>
        <v>O</v>
      </c>
      <c r="K87" s="106" t="str">
        <f>IF(
    AND(
        H87="O",
        I87="O",
        IF(ISNUMBER(SEARCH("무력+지력", F87)), ('성장 시뮬레이터'!$I$5+'성장 시뮬레이터'!$I$6) &gt;= G87,
           IF(ISNUMBER(SEARCH("무력", F87)), '성장 시뮬레이터'!$I$5 &gt;= G87,
           IF(ISNUMBER(SEARCH("지력", F87)), '성장 시뮬레이터'!$I$6 &gt;= G87,
           IF(ISNUMBER(SEARCH("내력", F87)), '성장 시뮬레이터'!$I$7 &gt;= G87,
           IF(ISNUMBER(SEARCH("체력", F87)), '성장 시뮬레이터'!$I$8 &gt;= G87, FALSE)))))
    ), "O", "X")</f>
        <v>O</v>
      </c>
      <c r="L87" s="106" t="str">
        <f>IF(
    AND(
        H87="O",
        I87="O",
        IF(ISNUMBER(SEARCH("무력+지력", F87)), ('성장 시뮬레이터'!$K$5+'성장 시뮬레이터'!$K$6) &gt;= G87,
           IF(ISNUMBER(SEARCH("무력", F87)), '성장 시뮬레이터'!$K$5 &gt;= G87,
           IF(ISNUMBER(SEARCH("지력", F87)), '성장 시뮬레이터'!$K$6 &gt;= G87,
           IF(ISNUMBER(SEARCH("내력", F87)), '성장 시뮬레이터'!$K$7 &gt;= G87,
           IF(ISNUMBER(SEARCH("체력", F87)), '성장 시뮬레이터'!$K$8 &gt;= G87, FALSE)))))
    ), "O", "X")</f>
        <v>O</v>
      </c>
      <c r="M87" s="106" t="str">
        <f>IF(
    AND(
        H87="O",
        I87="O",
        IF(ISNUMBER(SEARCH("무력+지력", F87)), ('성장 시뮬레이터'!$M$5+'성장 시뮬레이터'!$M$6) &gt;= G87,
           IF(ISNUMBER(SEARCH("무력", F87)), '성장 시뮬레이터'!$M$5 &gt;= G87,
           IF(ISNUMBER(SEARCH("지력", F87)), '성장 시뮬레이터'!$M$6 &gt;= G87,
           IF(ISNUMBER(SEARCH("내력", F87)), '성장 시뮬레이터'!$M$7 &gt;= G87,
           IF(ISNUMBER(SEARCH("체력", F87)), '성장 시뮬레이터'!$M$8 &gt;= G87, FALSE)))))
    ), "O", "X")</f>
        <v>O</v>
      </c>
      <c r="N87" s="106" t="str">
        <f>IF(
    AND(
        H87="O",
        I87="O",
        IF(ISNUMBER(SEARCH("무력+지력", F87)), ('성장 시뮬레이터'!$O$5+'성장 시뮬레이터'!$O$6) &gt;= G87,
           IF(ISNUMBER(SEARCH("무력", F87)), '성장 시뮬레이터'!$O$5 &gt;= G87,
           IF(ISNUMBER(SEARCH("지력", F87)), '성장 시뮬레이터'!$O$6 &gt;= G87,
           IF(ISNUMBER(SEARCH("내력", F87)), '성장 시뮬레이터'!$O$7 &gt;= G87,
           IF(ISNUMBER(SEARCH("체력", F87)), '성장 시뮬레이터'!$O$8 &gt;= G87, FALSE)))))
    ), "O", "X")</f>
        <v>O</v>
      </c>
      <c r="O87" s="106" t="str">
        <f>IF(
    AND(
        H87="O",
        I87="O",
        IF(ISNUMBER(SEARCH("무력+지력", F87)), ('성장 시뮬레이터'!$Q$5+'성장 시뮬레이터'!$Q$6) &gt;= G87,
           IF(ISNUMBER(SEARCH("무력", F87)), '성장 시뮬레이터'!$Q$5 &gt;= G87,
           IF(ISNUMBER(SEARCH("지력", F87)), '성장 시뮬레이터'!$Q$6 &gt;= G87,
           IF(ISNUMBER(SEARCH("내력", F87)), '성장 시뮬레이터'!$Q$7 &gt;= G87,
           IF(ISNUMBER(SEARCH("체력", F87)), '성장 시뮬레이터'!$Q$8 &gt;= G87, FALSE)))))
    ), "O", "X")</f>
        <v>O</v>
      </c>
      <c r="P87" s="106" t="s">
        <v>904</v>
      </c>
      <c r="Q87" s="142" t="str">
        <f t="shared" si="12"/>
        <v/>
      </c>
      <c r="R87" s="142" t="str">
        <f t="shared" si="13"/>
        <v/>
      </c>
      <c r="S87" s="142">
        <f t="shared" si="14"/>
        <v>95</v>
      </c>
      <c r="T87" s="142" t="str">
        <f t="shared" si="15"/>
        <v/>
      </c>
      <c r="U87" s="142" t="str">
        <f t="shared" si="16"/>
        <v/>
      </c>
      <c r="V87" s="142" t="str">
        <f t="shared" si="17"/>
        <v/>
      </c>
      <c r="W87" s="142" t="str">
        <f t="shared" si="18"/>
        <v/>
      </c>
      <c r="X87" s="142" t="str">
        <f t="shared" si="19"/>
        <v/>
      </c>
      <c r="Y87" s="142">
        <f t="shared" si="20"/>
        <v>190</v>
      </c>
      <c r="Z87" s="142" t="str">
        <f t="shared" si="21"/>
        <v/>
      </c>
      <c r="AA87" s="9" t="s">
        <v>138</v>
      </c>
      <c r="AB87" s="9"/>
      <c r="AC87" s="9"/>
      <c r="AD87" s="9"/>
      <c r="AE87" s="10"/>
      <c r="AF87" s="143" t="s">
        <v>139</v>
      </c>
      <c r="AH87" s="8"/>
      <c r="AI87" s="8"/>
      <c r="AJ87" s="8">
        <v>15</v>
      </c>
      <c r="AK87" s="8"/>
      <c r="AL87" s="8"/>
      <c r="AM87" s="8"/>
      <c r="AN87" s="8"/>
      <c r="AO87" s="8"/>
      <c r="AP87" s="8">
        <v>30</v>
      </c>
      <c r="AQ87" s="8"/>
      <c r="AR87" s="104" t="s">
        <v>647</v>
      </c>
      <c r="AS87" s="8"/>
      <c r="AT87" s="8"/>
      <c r="AU87" s="8">
        <v>20</v>
      </c>
      <c r="AV87" s="8"/>
      <c r="AW87" s="8"/>
      <c r="AX87" s="8"/>
      <c r="AY87" s="8"/>
      <c r="AZ87" s="8"/>
      <c r="BA87" s="8">
        <v>40</v>
      </c>
      <c r="BB87" s="8"/>
    </row>
    <row r="88" spans="1:54" x14ac:dyDescent="0.3">
      <c r="A88" s="5" t="s">
        <v>114</v>
      </c>
      <c r="B88" s="6" t="s">
        <v>41</v>
      </c>
      <c r="C88" s="203" t="s">
        <v>799</v>
      </c>
      <c r="D88" s="7" t="s">
        <v>140</v>
      </c>
      <c r="E88" s="7">
        <f t="array" ref="E88">INDEX(표1[내 책 등급], MATCH(1, (표1[사용자] ='성장 시뮬레이터'!$B$1) * (표1[책이름] = D88), 0))</f>
        <v>5</v>
      </c>
      <c r="F88" s="6" t="s">
        <v>21</v>
      </c>
      <c r="G88" s="142">
        <v>90</v>
      </c>
      <c r="H88" s="8" t="str">
        <f>IF(ISNUMBER(SEARCH("여", F88)), IF('성장 시뮬레이터'!$C$9=2, "O", "X"), "O")</f>
        <v>O</v>
      </c>
      <c r="I88" s="8" t="str">
        <f>IF(OR(ISNUMBER(SEARCH("위나라", F88)), ISNUMBER(SEARCH("촉나라", F88)), ISNUMBER(SEARCH("오나라", F88)), ISNUMBER(SEARCH("군웅", F88))), IF(ISNUMBER(SEARCH('성장 시뮬레이터'!$C$10, F88)), "O", "X"), "O")</f>
        <v>O</v>
      </c>
      <c r="J88" s="8" t="str">
        <f>IF(
    AND(
        H88="O",
        I88="O",
        IF(ISNUMBER(SEARCH("무력+지력", F88)), ('성장 시뮬레이터'!$G$5+'성장 시뮬레이터'!$G$6) &gt;= G88,
           IF(ISNUMBER(SEARCH("무력", F88)), '성장 시뮬레이터'!$G$5 &gt;= G88,
           IF(ISNUMBER(SEARCH("지력", F88)), '성장 시뮬레이터'!$G$6 &gt;= G88,
           IF(ISNUMBER(SEARCH("내력", F88)), '성장 시뮬레이터'!$G$7 &gt;= G88,
           IF(ISNUMBER(SEARCH("체력", F88)), '성장 시뮬레이터'!$G$8 &gt;= G88, FALSE)))))
    ), "O", "X")</f>
        <v>X</v>
      </c>
      <c r="K88" s="106" t="str">
        <f>IF(
    AND(
        H88="O",
        I88="O",
        IF(ISNUMBER(SEARCH("무력+지력", F88)), ('성장 시뮬레이터'!$I$5+'성장 시뮬레이터'!$I$6) &gt;= G88,
           IF(ISNUMBER(SEARCH("무력", F88)), '성장 시뮬레이터'!$I$5 &gt;= G88,
           IF(ISNUMBER(SEARCH("지력", F88)), '성장 시뮬레이터'!$I$6 &gt;= G88,
           IF(ISNUMBER(SEARCH("내력", F88)), '성장 시뮬레이터'!$I$7 &gt;= G88,
           IF(ISNUMBER(SEARCH("체력", F88)), '성장 시뮬레이터'!$I$8 &gt;= G88, FALSE)))))
    ), "O", "X")</f>
        <v>X</v>
      </c>
      <c r="L88" s="106" t="str">
        <f>IF(
    AND(
        H88="O",
        I88="O",
        IF(ISNUMBER(SEARCH("무력+지력", F88)), ('성장 시뮬레이터'!$K$5+'성장 시뮬레이터'!$K$6) &gt;= G88,
           IF(ISNUMBER(SEARCH("무력", F88)), '성장 시뮬레이터'!$K$5 &gt;= G88,
           IF(ISNUMBER(SEARCH("지력", F88)), '성장 시뮬레이터'!$K$6 &gt;= G88,
           IF(ISNUMBER(SEARCH("내력", F88)), '성장 시뮬레이터'!$K$7 &gt;= G88,
           IF(ISNUMBER(SEARCH("체력", F88)), '성장 시뮬레이터'!$K$8 &gt;= G88, FALSE)))))
    ), "O", "X")</f>
        <v>O</v>
      </c>
      <c r="M88" s="106" t="str">
        <f>IF(
    AND(
        H88="O",
        I88="O",
        IF(ISNUMBER(SEARCH("무력+지력", F88)), ('성장 시뮬레이터'!$M$5+'성장 시뮬레이터'!$M$6) &gt;= G88,
           IF(ISNUMBER(SEARCH("무력", F88)), '성장 시뮬레이터'!$M$5 &gt;= G88,
           IF(ISNUMBER(SEARCH("지력", F88)), '성장 시뮬레이터'!$M$6 &gt;= G88,
           IF(ISNUMBER(SEARCH("내력", F88)), '성장 시뮬레이터'!$M$7 &gt;= G88,
           IF(ISNUMBER(SEARCH("체력", F88)), '성장 시뮬레이터'!$M$8 &gt;= G88, FALSE)))))
    ), "O", "X")</f>
        <v>O</v>
      </c>
      <c r="N88" s="106" t="str">
        <f>IF(
    AND(
        H88="O",
        I88="O",
        IF(ISNUMBER(SEARCH("무력+지력", F88)), ('성장 시뮬레이터'!$O$5+'성장 시뮬레이터'!$O$6) &gt;= G88,
           IF(ISNUMBER(SEARCH("무력", F88)), '성장 시뮬레이터'!$O$5 &gt;= G88,
           IF(ISNUMBER(SEARCH("지력", F88)), '성장 시뮬레이터'!$O$6 &gt;= G88,
           IF(ISNUMBER(SEARCH("내력", F88)), '성장 시뮬레이터'!$O$7 &gt;= G88,
           IF(ISNUMBER(SEARCH("체력", F88)), '성장 시뮬레이터'!$O$8 &gt;= G88, FALSE)))))
    ), "O", "X")</f>
        <v>O</v>
      </c>
      <c r="O88" s="106" t="str">
        <f>IF(
    AND(
        H88="O",
        I88="O",
        IF(ISNUMBER(SEARCH("무력+지력", F88)), ('성장 시뮬레이터'!$Q$5+'성장 시뮬레이터'!$Q$6) &gt;= G88,
           IF(ISNUMBER(SEARCH("무력", F88)), '성장 시뮬레이터'!$Q$5 &gt;= G88,
           IF(ISNUMBER(SEARCH("지력", F88)), '성장 시뮬레이터'!$Q$6 &gt;= G88,
           IF(ISNUMBER(SEARCH("내력", F88)), '성장 시뮬레이터'!$Q$7 &gt;= G88,
           IF(ISNUMBER(SEARCH("체력", F88)), '성장 시뮬레이터'!$Q$8 &gt;= G88, FALSE)))))
    ), "O", "X")</f>
        <v>O</v>
      </c>
      <c r="P88" s="106" t="s">
        <v>904</v>
      </c>
      <c r="Q88" s="142" t="str">
        <f t="shared" si="12"/>
        <v/>
      </c>
      <c r="R88" s="142" t="str">
        <f t="shared" si="13"/>
        <v/>
      </c>
      <c r="S88" s="142" t="str">
        <f t="shared" si="14"/>
        <v/>
      </c>
      <c r="T88" s="142" t="str">
        <f t="shared" si="15"/>
        <v/>
      </c>
      <c r="U88" s="142" t="str">
        <f t="shared" si="16"/>
        <v/>
      </c>
      <c r="V88" s="142">
        <f t="shared" si="17"/>
        <v>70</v>
      </c>
      <c r="W88" s="142" t="str">
        <f t="shared" si="18"/>
        <v/>
      </c>
      <c r="X88" s="142" t="str">
        <f t="shared" si="19"/>
        <v/>
      </c>
      <c r="Y88" s="142" t="str">
        <f t="shared" si="20"/>
        <v/>
      </c>
      <c r="Z88" s="142" t="str">
        <f t="shared" si="21"/>
        <v/>
      </c>
      <c r="AA88" s="11" t="s">
        <v>648</v>
      </c>
      <c r="AB88" s="9" t="s">
        <v>43</v>
      </c>
      <c r="AC88" s="9" t="s">
        <v>43</v>
      </c>
      <c r="AD88" s="9" t="s">
        <v>43</v>
      </c>
      <c r="AE88" s="10" t="s">
        <v>43</v>
      </c>
      <c r="AF88" s="143" t="s">
        <v>43</v>
      </c>
      <c r="AH88" s="8"/>
      <c r="AI88" s="8"/>
      <c r="AJ88" s="8"/>
      <c r="AK88" s="8"/>
      <c r="AL88" s="8"/>
      <c r="AM88" s="8">
        <v>70</v>
      </c>
      <c r="AN88" s="8"/>
      <c r="AO88" s="8"/>
      <c r="AP88" s="8"/>
      <c r="AQ88" s="8"/>
      <c r="AR88" s="103"/>
      <c r="AS88" s="8" t="str">
        <f>IF(OR(표1_3[[#This Row],[등급]]="명서",(표1_3[[#This Row],[등급]]="고급")),IF(AH88="","",AH88*$AR88),"")</f>
        <v/>
      </c>
      <c r="AT88" s="8" t="str">
        <f>IF(OR(표1_3[[#This Row],[등급]]="명서",(표1_3[[#This Row],[등급]]="고급")),IF(AI88="","",AI88*$AR88),"")</f>
        <v/>
      </c>
      <c r="AU88" s="8" t="str">
        <f>IF(OR(표1_3[[#This Row],[등급]]="명서",(표1_3[[#This Row],[등급]]="고급")),IF(AJ88="","",AJ88*$AR88),"")</f>
        <v/>
      </c>
      <c r="AV88" s="8" t="str">
        <f>IF(OR(표1_3[[#This Row],[등급]]="명서",(표1_3[[#This Row],[등급]]="고급")),IF(AK88="","",AK88*$AR88),"")</f>
        <v/>
      </c>
      <c r="AW88" s="8" t="str">
        <f>IF(OR(표1_3[[#This Row],[등급]]="명서",(표1_3[[#This Row],[등급]]="고급")),IF(AL88="","",AL88*$AR88),"")</f>
        <v/>
      </c>
      <c r="AX88" s="8" t="str">
        <f>IF(OR(표1_3[[#This Row],[등급]]="명서",(표1_3[[#This Row],[등급]]="고급")),IF(AM88="","",AM88*$AR88),"")</f>
        <v/>
      </c>
      <c r="AY88" s="8" t="str">
        <f>IF(OR(표1_3[[#This Row],[등급]]="명서",(표1_3[[#This Row],[등급]]="고급")),IF(AN88="","",AN88*$AR88),"")</f>
        <v/>
      </c>
      <c r="AZ88" s="8" t="str">
        <f>IF(OR(표1_3[[#This Row],[등급]]="명서",(표1_3[[#This Row],[등급]]="고급")),IF(AO88="","",AO88*$AR88),"")</f>
        <v/>
      </c>
      <c r="BA88" s="8" t="str">
        <f>IF(OR(표1_3[[#This Row],[등급]]="명서",(표1_3[[#This Row],[등급]]="고급")),IF(AP88="","",AP88*$AR88),"")</f>
        <v/>
      </c>
      <c r="BB88" s="8" t="str">
        <f>IF(OR(표1_3[[#This Row],[등급]]="명서",(표1_3[[#This Row],[등급]]="고급")),IF(AQ88="","",AQ88*$AR88),"")</f>
        <v/>
      </c>
    </row>
    <row r="89" spans="1:54" x14ac:dyDescent="0.3">
      <c r="A89" s="5" t="s">
        <v>114</v>
      </c>
      <c r="B89" s="6" t="s">
        <v>41</v>
      </c>
      <c r="C89" s="203" t="s">
        <v>799</v>
      </c>
      <c r="D89" s="7" t="s">
        <v>141</v>
      </c>
      <c r="E89" s="7">
        <f t="array" ref="E89">INDEX(표1[내 책 등급], MATCH(1, (표1[사용자] ='성장 시뮬레이터'!$B$1) * (표1[책이름] = D89), 0))</f>
        <v>5</v>
      </c>
      <c r="F89" s="6" t="s">
        <v>14</v>
      </c>
      <c r="G89" s="142">
        <v>81</v>
      </c>
      <c r="H89" s="8" t="str">
        <f>IF(ISNUMBER(SEARCH("여", F89)), IF('성장 시뮬레이터'!$C$9=2, "O", "X"), "O")</f>
        <v>O</v>
      </c>
      <c r="I89" s="8" t="str">
        <f>IF(OR(ISNUMBER(SEARCH("위나라", F89)), ISNUMBER(SEARCH("촉나라", F89)), ISNUMBER(SEARCH("오나라", F89)), ISNUMBER(SEARCH("군웅", F89))), IF(ISNUMBER(SEARCH('성장 시뮬레이터'!$C$10, F89)), "O", "X"), "O")</f>
        <v>O</v>
      </c>
      <c r="J89" s="8" t="str">
        <f>IF(
    AND(
        H89="O",
        I89="O",
        IF(ISNUMBER(SEARCH("무력+지력", F89)), ('성장 시뮬레이터'!$G$5+'성장 시뮬레이터'!$G$6) &gt;= G89,
           IF(ISNUMBER(SEARCH("무력", F89)), '성장 시뮬레이터'!$G$5 &gt;= G89,
           IF(ISNUMBER(SEARCH("지력", F89)), '성장 시뮬레이터'!$G$6 &gt;= G89,
           IF(ISNUMBER(SEARCH("내력", F89)), '성장 시뮬레이터'!$G$7 &gt;= G89,
           IF(ISNUMBER(SEARCH("체력", F89)), '성장 시뮬레이터'!$G$8 &gt;= G89, FALSE)))))
    ), "O", "X")</f>
        <v>O</v>
      </c>
      <c r="K89" s="106" t="str">
        <f>IF(
    AND(
        H89="O",
        I89="O",
        IF(ISNUMBER(SEARCH("무력+지력", F89)), ('성장 시뮬레이터'!$I$5+'성장 시뮬레이터'!$I$6) &gt;= G89,
           IF(ISNUMBER(SEARCH("무력", F89)), '성장 시뮬레이터'!$I$5 &gt;= G89,
           IF(ISNUMBER(SEARCH("지력", F89)), '성장 시뮬레이터'!$I$6 &gt;= G89,
           IF(ISNUMBER(SEARCH("내력", F89)), '성장 시뮬레이터'!$I$7 &gt;= G89,
           IF(ISNUMBER(SEARCH("체력", F89)), '성장 시뮬레이터'!$I$8 &gt;= G89, FALSE)))))
    ), "O", "X")</f>
        <v>O</v>
      </c>
      <c r="L89" s="106" t="str">
        <f>IF(
    AND(
        H89="O",
        I89="O",
        IF(ISNUMBER(SEARCH("무력+지력", F89)), ('성장 시뮬레이터'!$K$5+'성장 시뮬레이터'!$K$6) &gt;= G89,
           IF(ISNUMBER(SEARCH("무력", F89)), '성장 시뮬레이터'!$K$5 &gt;= G89,
           IF(ISNUMBER(SEARCH("지력", F89)), '성장 시뮬레이터'!$K$6 &gt;= G89,
           IF(ISNUMBER(SEARCH("내력", F89)), '성장 시뮬레이터'!$K$7 &gt;= G89,
           IF(ISNUMBER(SEARCH("체력", F89)), '성장 시뮬레이터'!$K$8 &gt;= G89, FALSE)))))
    ), "O", "X")</f>
        <v>O</v>
      </c>
      <c r="M89" s="106" t="str">
        <f>IF(
    AND(
        H89="O",
        I89="O",
        IF(ISNUMBER(SEARCH("무력+지력", F89)), ('성장 시뮬레이터'!$M$5+'성장 시뮬레이터'!$M$6) &gt;= G89,
           IF(ISNUMBER(SEARCH("무력", F89)), '성장 시뮬레이터'!$M$5 &gt;= G89,
           IF(ISNUMBER(SEARCH("지력", F89)), '성장 시뮬레이터'!$M$6 &gt;= G89,
           IF(ISNUMBER(SEARCH("내력", F89)), '성장 시뮬레이터'!$M$7 &gt;= G89,
           IF(ISNUMBER(SEARCH("체력", F89)), '성장 시뮬레이터'!$M$8 &gt;= G89, FALSE)))))
    ), "O", "X")</f>
        <v>O</v>
      </c>
      <c r="N89" s="106" t="str">
        <f>IF(
    AND(
        H89="O",
        I89="O",
        IF(ISNUMBER(SEARCH("무력+지력", F89)), ('성장 시뮬레이터'!$O$5+'성장 시뮬레이터'!$O$6) &gt;= G89,
           IF(ISNUMBER(SEARCH("무력", F89)), '성장 시뮬레이터'!$O$5 &gt;= G89,
           IF(ISNUMBER(SEARCH("지력", F89)), '성장 시뮬레이터'!$O$6 &gt;= G89,
           IF(ISNUMBER(SEARCH("내력", F89)), '성장 시뮬레이터'!$O$7 &gt;= G89,
           IF(ISNUMBER(SEARCH("체력", F89)), '성장 시뮬레이터'!$O$8 &gt;= G89, FALSE)))))
    ), "O", "X")</f>
        <v>O</v>
      </c>
      <c r="O89" s="106" t="str">
        <f>IF(
    AND(
        H89="O",
        I89="O",
        IF(ISNUMBER(SEARCH("무력+지력", F89)), ('성장 시뮬레이터'!$Q$5+'성장 시뮬레이터'!$Q$6) &gt;= G89,
           IF(ISNUMBER(SEARCH("무력", F89)), '성장 시뮬레이터'!$Q$5 &gt;= G89,
           IF(ISNUMBER(SEARCH("지력", F89)), '성장 시뮬레이터'!$Q$6 &gt;= G89,
           IF(ISNUMBER(SEARCH("내력", F89)), '성장 시뮬레이터'!$Q$7 &gt;= G89,
           IF(ISNUMBER(SEARCH("체력", F89)), '성장 시뮬레이터'!$Q$8 &gt;= G89, FALSE)))))
    ), "O", "X")</f>
        <v>O</v>
      </c>
      <c r="P89" s="106" t="s">
        <v>904</v>
      </c>
      <c r="Q89" s="142" t="str">
        <f t="shared" si="12"/>
        <v/>
      </c>
      <c r="R89" s="142" t="str">
        <f t="shared" si="13"/>
        <v/>
      </c>
      <c r="S89" s="142" t="str">
        <f t="shared" si="14"/>
        <v/>
      </c>
      <c r="T89" s="142" t="str">
        <f t="shared" si="15"/>
        <v/>
      </c>
      <c r="U89" s="142" t="str">
        <f t="shared" si="16"/>
        <v/>
      </c>
      <c r="V89" s="142" t="str">
        <f t="shared" si="17"/>
        <v/>
      </c>
      <c r="W89" s="142" t="str">
        <f t="shared" si="18"/>
        <v/>
      </c>
      <c r="X89" s="142" t="str">
        <f t="shared" si="19"/>
        <v/>
      </c>
      <c r="Y89" s="142">
        <f t="shared" si="20"/>
        <v>50</v>
      </c>
      <c r="Z89" s="142" t="str">
        <f t="shared" si="21"/>
        <v/>
      </c>
      <c r="AA89" s="9" t="s">
        <v>649</v>
      </c>
      <c r="AB89" s="9" t="s">
        <v>43</v>
      </c>
      <c r="AC89" s="9" t="s">
        <v>43</v>
      </c>
      <c r="AD89" s="9" t="s">
        <v>43</v>
      </c>
      <c r="AE89" s="10" t="s">
        <v>43</v>
      </c>
      <c r="AF89" s="143" t="s">
        <v>43</v>
      </c>
      <c r="AH89" s="8"/>
      <c r="AI89" s="8"/>
      <c r="AJ89" s="8"/>
      <c r="AK89" s="8"/>
      <c r="AL89" s="8"/>
      <c r="AM89" s="8"/>
      <c r="AN89" s="8"/>
      <c r="AO89" s="8"/>
      <c r="AP89" s="8">
        <v>50</v>
      </c>
      <c r="AQ89" s="8"/>
      <c r="AR89" s="103"/>
      <c r="AS89" s="8"/>
      <c r="AT89" s="8"/>
      <c r="AU89" s="8"/>
      <c r="AV89" s="8"/>
      <c r="AW89" s="8"/>
      <c r="AX89" s="8"/>
      <c r="AY89" s="8"/>
      <c r="AZ89" s="8"/>
      <c r="BA89" s="8"/>
      <c r="BB89" s="8"/>
    </row>
    <row r="90" spans="1:54" x14ac:dyDescent="0.3">
      <c r="A90" s="13" t="s">
        <v>114</v>
      </c>
      <c r="B90" s="14" t="s">
        <v>46</v>
      </c>
      <c r="C90" s="203" t="s">
        <v>799</v>
      </c>
      <c r="D90" s="15" t="s">
        <v>142</v>
      </c>
      <c r="E90" s="7">
        <f t="array" ref="E90">INDEX(표1[내 책 등급], MATCH(1, (표1[사용자] ='성장 시뮬레이터'!$B$1) * (표1[책이름] = D90), 0))</f>
        <v>4</v>
      </c>
      <c r="F90" s="14" t="s">
        <v>14</v>
      </c>
      <c r="G90" s="148">
        <v>81</v>
      </c>
      <c r="H90" s="16" t="str">
        <f>IF(ISNUMBER(SEARCH("여", F90)), IF('성장 시뮬레이터'!$C$9=2, "O", "X"), "O")</f>
        <v>O</v>
      </c>
      <c r="I90" s="16" t="str">
        <f>IF(OR(ISNUMBER(SEARCH("위나라", F90)), ISNUMBER(SEARCH("촉나라", F90)), ISNUMBER(SEARCH("오나라", F90)), ISNUMBER(SEARCH("군웅", F90))), IF(ISNUMBER(SEARCH('성장 시뮬레이터'!$C$10, F90)), "O", "X"), "O")</f>
        <v>O</v>
      </c>
      <c r="J90" s="8" t="str">
        <f>IF(
    AND(
        H90="O",
        I90="O",
        IF(ISNUMBER(SEARCH("무력+지력", F90)), ('성장 시뮬레이터'!$G$5+'성장 시뮬레이터'!$G$6) &gt;= G90,
           IF(ISNUMBER(SEARCH("무력", F90)), '성장 시뮬레이터'!$G$5 &gt;= G90,
           IF(ISNUMBER(SEARCH("지력", F90)), '성장 시뮬레이터'!$G$6 &gt;= G90,
           IF(ISNUMBER(SEARCH("내력", F90)), '성장 시뮬레이터'!$G$7 &gt;= G90,
           IF(ISNUMBER(SEARCH("체력", F90)), '성장 시뮬레이터'!$G$8 &gt;= G90, FALSE)))))
    ), "O", "X")</f>
        <v>O</v>
      </c>
      <c r="K90" s="106" t="str">
        <f>IF(
    AND(
        H90="O",
        I90="O",
        IF(ISNUMBER(SEARCH("무력+지력", F90)), ('성장 시뮬레이터'!$I$5+'성장 시뮬레이터'!$I$6) &gt;= G90,
           IF(ISNUMBER(SEARCH("무력", F90)), '성장 시뮬레이터'!$I$5 &gt;= G90,
           IF(ISNUMBER(SEARCH("지력", F90)), '성장 시뮬레이터'!$I$6 &gt;= G90,
           IF(ISNUMBER(SEARCH("내력", F90)), '성장 시뮬레이터'!$I$7 &gt;= G90,
           IF(ISNUMBER(SEARCH("체력", F90)), '성장 시뮬레이터'!$I$8 &gt;= G90, FALSE)))))
    ), "O", "X")</f>
        <v>O</v>
      </c>
      <c r="L90" s="106" t="str">
        <f>IF(
    AND(
        H90="O",
        I90="O",
        IF(ISNUMBER(SEARCH("무력+지력", F90)), ('성장 시뮬레이터'!$K$5+'성장 시뮬레이터'!$K$6) &gt;= G90,
           IF(ISNUMBER(SEARCH("무력", F90)), '성장 시뮬레이터'!$K$5 &gt;= G90,
           IF(ISNUMBER(SEARCH("지력", F90)), '성장 시뮬레이터'!$K$6 &gt;= G90,
           IF(ISNUMBER(SEARCH("내력", F90)), '성장 시뮬레이터'!$K$7 &gt;= G90,
           IF(ISNUMBER(SEARCH("체력", F90)), '성장 시뮬레이터'!$K$8 &gt;= G90, FALSE)))))
    ), "O", "X")</f>
        <v>O</v>
      </c>
      <c r="M90" s="106" t="str">
        <f>IF(
    AND(
        H90="O",
        I90="O",
        IF(ISNUMBER(SEARCH("무력+지력", F90)), ('성장 시뮬레이터'!$M$5+'성장 시뮬레이터'!$M$6) &gt;= G90,
           IF(ISNUMBER(SEARCH("무력", F90)), '성장 시뮬레이터'!$M$5 &gt;= G90,
           IF(ISNUMBER(SEARCH("지력", F90)), '성장 시뮬레이터'!$M$6 &gt;= G90,
           IF(ISNUMBER(SEARCH("내력", F90)), '성장 시뮬레이터'!$M$7 &gt;= G90,
           IF(ISNUMBER(SEARCH("체력", F90)), '성장 시뮬레이터'!$M$8 &gt;= G90, FALSE)))))
    ), "O", "X")</f>
        <v>O</v>
      </c>
      <c r="N90" s="106" t="str">
        <f>IF(
    AND(
        H90="O",
        I90="O",
        IF(ISNUMBER(SEARCH("무력+지력", F90)), ('성장 시뮬레이터'!$O$5+'성장 시뮬레이터'!$O$6) &gt;= G90,
           IF(ISNUMBER(SEARCH("무력", F90)), '성장 시뮬레이터'!$O$5 &gt;= G90,
           IF(ISNUMBER(SEARCH("지력", F90)), '성장 시뮬레이터'!$O$6 &gt;= G90,
           IF(ISNUMBER(SEARCH("내력", F90)), '성장 시뮬레이터'!$O$7 &gt;= G90,
           IF(ISNUMBER(SEARCH("체력", F90)), '성장 시뮬레이터'!$O$8 &gt;= G90, FALSE)))))
    ), "O", "X")</f>
        <v>O</v>
      </c>
      <c r="O90" s="106" t="str">
        <f>IF(
    AND(
        H90="O",
        I90="O",
        IF(ISNUMBER(SEARCH("무력+지력", F90)), ('성장 시뮬레이터'!$Q$5+'성장 시뮬레이터'!$Q$6) &gt;= G90,
           IF(ISNUMBER(SEARCH("무력", F90)), '성장 시뮬레이터'!$Q$5 &gt;= G90,
           IF(ISNUMBER(SEARCH("지력", F90)), '성장 시뮬레이터'!$Q$6 &gt;= G90,
           IF(ISNUMBER(SEARCH("내력", F90)), '성장 시뮬레이터'!$Q$7 &gt;= G90,
           IF(ISNUMBER(SEARCH("체력", F90)), '성장 시뮬레이터'!$Q$8 &gt;= G90, FALSE)))))
    ), "O", "X")</f>
        <v>O</v>
      </c>
      <c r="P90" s="106" t="s">
        <v>904</v>
      </c>
      <c r="Q90" s="142" t="str">
        <f t="shared" si="12"/>
        <v/>
      </c>
      <c r="R90" s="142" t="str">
        <f t="shared" si="13"/>
        <v/>
      </c>
      <c r="S90" s="142" t="str">
        <f t="shared" si="14"/>
        <v/>
      </c>
      <c r="T90" s="142" t="str">
        <f t="shared" si="15"/>
        <v/>
      </c>
      <c r="U90" s="142" t="str">
        <f t="shared" si="16"/>
        <v/>
      </c>
      <c r="V90" s="142" t="str">
        <f t="shared" si="17"/>
        <v/>
      </c>
      <c r="W90" s="142" t="str">
        <f t="shared" si="18"/>
        <v/>
      </c>
      <c r="X90" s="142" t="str">
        <f t="shared" si="19"/>
        <v/>
      </c>
      <c r="Y90" s="142">
        <f t="shared" si="20"/>
        <v>30</v>
      </c>
      <c r="Z90" s="142" t="str">
        <f t="shared" si="21"/>
        <v/>
      </c>
      <c r="AA90" s="17" t="s">
        <v>650</v>
      </c>
      <c r="AB90" s="9" t="s">
        <v>43</v>
      </c>
      <c r="AC90" s="9" t="s">
        <v>43</v>
      </c>
      <c r="AD90" s="9" t="s">
        <v>43</v>
      </c>
      <c r="AE90" s="10" t="s">
        <v>43</v>
      </c>
      <c r="AF90" s="143" t="s">
        <v>43</v>
      </c>
      <c r="AH90" s="8"/>
      <c r="AI90" s="8"/>
      <c r="AJ90" s="8"/>
      <c r="AK90" s="8"/>
      <c r="AL90" s="8"/>
      <c r="AM90" s="8"/>
      <c r="AN90" s="8"/>
      <c r="AO90" s="8"/>
      <c r="AP90" s="8">
        <v>30</v>
      </c>
      <c r="AQ90" s="8"/>
      <c r="AR90" s="103"/>
      <c r="AS90" s="8"/>
      <c r="AT90" s="8"/>
      <c r="AU90" s="8"/>
      <c r="AV90" s="8"/>
      <c r="AW90" s="8"/>
      <c r="AX90" s="8"/>
      <c r="AY90" s="8"/>
      <c r="AZ90" s="8"/>
      <c r="BA90" s="8"/>
      <c r="BB90" s="8"/>
    </row>
    <row r="92" spans="1:54" hidden="1" x14ac:dyDescent="0.3">
      <c r="Q92" s="130" t="s">
        <v>147</v>
      </c>
      <c r="R92" s="127" t="s">
        <v>157</v>
      </c>
      <c r="S92" s="127" t="s">
        <v>159</v>
      </c>
      <c r="T92" s="127" t="s">
        <v>160</v>
      </c>
      <c r="U92" s="130" t="s">
        <v>161</v>
      </c>
      <c r="V92" s="130" t="s">
        <v>162</v>
      </c>
      <c r="W92" s="127" t="s">
        <v>163</v>
      </c>
      <c r="X92" s="131" t="s">
        <v>164</v>
      </c>
      <c r="Y92" s="131" t="s">
        <v>165</v>
      </c>
      <c r="Z92" s="131" t="s">
        <v>166</v>
      </c>
    </row>
    <row r="93" spans="1:54" hidden="1" x14ac:dyDescent="0.3">
      <c r="A93" s="5" t="s">
        <v>170</v>
      </c>
      <c r="B93" s="162" t="s">
        <v>659</v>
      </c>
      <c r="C93" s="119"/>
      <c r="D93" s="164"/>
      <c r="E93" s="164"/>
      <c r="F93" s="119"/>
      <c r="G93" s="163"/>
      <c r="H93" s="8"/>
      <c r="I93" s="8"/>
      <c r="J93" s="8"/>
      <c r="K93" s="8"/>
      <c r="L93" s="8"/>
      <c r="M93" s="8"/>
      <c r="N93" s="8"/>
      <c r="O93" s="8"/>
      <c r="P93" s="8"/>
      <c r="Q93" s="8">
        <f>SUMIF(표1_3[적용여부], "O", 표1_3[군사])</f>
        <v>975</v>
      </c>
      <c r="R93" s="8">
        <f>SUMIF(표1_3[적용여부], "O", 표1_3[장군])</f>
        <v>2910</v>
      </c>
      <c r="S93" s="8">
        <f>SUMIF(표1_3[적용여부], "O", 표1_3[통솔자])</f>
        <v>2085</v>
      </c>
      <c r="T93" s="8">
        <f>SUMIF(표1_3[적용여부], "O", 표1_3[농부])</f>
        <v>630</v>
      </c>
      <c r="U93" s="8">
        <f>SUMIF(표1_3[적용여부], "O", 표1_3[요리사])</f>
        <v>160</v>
      </c>
      <c r="V93" s="8">
        <f>SUMIF(표1_3[적용여부], "O", 표1_3[상인])</f>
        <v>60</v>
      </c>
      <c r="W93" s="8">
        <f>SUMIF(표1_3[적용여부], "O", 표1_3[대장장이])</f>
        <v>595</v>
      </c>
      <c r="X93" s="8">
        <f>SUMIF(표1_3[적용여부], "O", 표1_3[교사])</f>
        <v>550</v>
      </c>
      <c r="Y93" s="8">
        <f>SUMIF(표1_3[적용여부], "O", 표1_3[일꾼])</f>
        <v>660</v>
      </c>
      <c r="Z93" s="8">
        <f>SUMIF(표1_3[적용여부], "O", 표1_3[보안관])</f>
        <v>340</v>
      </c>
      <c r="AA93" s="122"/>
      <c r="AB93" s="122"/>
      <c r="AC93" s="122"/>
      <c r="AD93" s="122"/>
      <c r="AE93" s="122"/>
      <c r="AF93" s="122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</row>
    <row r="94" spans="1:54" hidden="1" x14ac:dyDescent="0.3">
      <c r="A94" s="5" t="s">
        <v>171</v>
      </c>
      <c r="B94" s="162"/>
      <c r="C94" s="119"/>
      <c r="D94" s="164"/>
      <c r="E94" s="164"/>
      <c r="F94" s="119"/>
      <c r="G94" s="163"/>
      <c r="H94" s="8"/>
      <c r="I94" s="8"/>
      <c r="J94" s="8"/>
      <c r="K94" s="8"/>
      <c r="L94" s="8"/>
      <c r="M94" s="8"/>
      <c r="N94" s="8"/>
      <c r="O94" s="8"/>
      <c r="P94" s="8"/>
      <c r="Q94" s="8">
        <f>IF(Q93&gt;=440,(IF(Q93&lt;3540,6+QUOTIENT(Q93-140,100),40+QUOTIENT((Q93-3540),150))),(IF(Q93&gt;=350,8,(IF(Q93&gt;=270,7,(IF(Q93&gt;=200,6,(IF(Q93&gt;=140,5,(IF(Q93&gt;=90,4,(IF(Q93&gt;=60,3,(IF(Q93&gt;=30,2,(IF(Q93&gt;=10,1,0)))))))))))))))))</f>
        <v>14</v>
      </c>
      <c r="R94" s="8">
        <f>IF(R93&gt;=440,(IF(R93&lt;3540,6+QUOTIENT(R93-140,100),40+QUOTIENT((R93-3540),150))),(IF(R93&gt;=350,8,(IF(R93&gt;=270,7,(IF(R93&gt;=200,6,(IF(R93&gt;=140,5,(IF(R93&gt;=90,4,(IF(R93&gt;=60,3,(IF(R93&gt;=30,2,(IF(R93&gt;=10,1,0)))))))))))))))))</f>
        <v>33</v>
      </c>
      <c r="S94" s="8">
        <f t="shared" ref="S94:Z94" si="25">IF(S93&gt;=440,(IF(S93&lt;3540,6+QUOTIENT(S93-140,100),40+QUOTIENT((S93-3540),150))),(IF(S93&gt;=350,8,(IF(S93&gt;=270,7,(IF(S93&gt;=200,6,(IF(S93&gt;=140,5,(IF(S93&gt;=90,4,(IF(S93&gt;=60,3,(IF(S93&gt;=30,2,(IF(S93&gt;=10,1,0)))))))))))))))))</f>
        <v>25</v>
      </c>
      <c r="T94" s="8">
        <f t="shared" si="25"/>
        <v>10</v>
      </c>
      <c r="U94" s="8">
        <f t="shared" si="25"/>
        <v>5</v>
      </c>
      <c r="V94" s="8">
        <f t="shared" si="25"/>
        <v>3</v>
      </c>
      <c r="W94" s="8">
        <f t="shared" si="25"/>
        <v>10</v>
      </c>
      <c r="X94" s="8">
        <f t="shared" si="25"/>
        <v>10</v>
      </c>
      <c r="Y94" s="8">
        <f t="shared" si="25"/>
        <v>11</v>
      </c>
      <c r="Z94" s="8">
        <f t="shared" si="25"/>
        <v>7</v>
      </c>
    </row>
    <row r="95" spans="1:54" hidden="1" x14ac:dyDescent="0.3">
      <c r="A95" s="119"/>
      <c r="B95" s="119"/>
      <c r="C95" s="119"/>
      <c r="D95" s="164"/>
      <c r="E95" s="164"/>
      <c r="F95" s="119"/>
      <c r="G95" s="120"/>
      <c r="H95" s="120"/>
      <c r="I95" s="120"/>
      <c r="J95" s="120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</row>
    <row r="96" spans="1:54" hidden="1" x14ac:dyDescent="0.3">
      <c r="A96" s="5" t="s">
        <v>170</v>
      </c>
      <c r="B96" s="162" t="s">
        <v>661</v>
      </c>
      <c r="C96" s="119"/>
      <c r="D96" s="164"/>
      <c r="E96" s="164"/>
      <c r="F96" s="119"/>
      <c r="G96" s="163"/>
      <c r="H96" s="8"/>
      <c r="I96" s="8"/>
      <c r="J96" s="8"/>
      <c r="K96" s="8"/>
      <c r="L96" s="8"/>
      <c r="M96" s="8"/>
      <c r="N96" s="8"/>
      <c r="O96" s="8"/>
      <c r="P96" s="8"/>
      <c r="Q96" s="18">
        <f>SUMIF(표1_3[1차성장], "O", 표1_3[군사])</f>
        <v>2390</v>
      </c>
      <c r="R96" s="18">
        <f>SUMIF(표1_3[1차성장], "O", 표1_3[장군])</f>
        <v>4580</v>
      </c>
      <c r="S96" s="18">
        <f>SUMIF(표1_3[1차성장], "O", 표1_3[통솔자])</f>
        <v>3585</v>
      </c>
      <c r="T96" s="18">
        <f>SUMIF(표1_3[1차성장], "O", 표1_3[농부])</f>
        <v>630</v>
      </c>
      <c r="U96" s="18">
        <f>SUMIF(표1_3[1차성장], "O", 표1_3[요리사])</f>
        <v>355</v>
      </c>
      <c r="V96" s="18">
        <f>SUMIF(표1_3[1차성장], "O", 표1_3[상인])</f>
        <v>190</v>
      </c>
      <c r="W96" s="18">
        <f>SUMIF(표1_3[1차성장], "O", 표1_3[대장장이])</f>
        <v>825</v>
      </c>
      <c r="X96" s="18">
        <f>SUMIF(표1_3[1차성장], "O", 표1_3[교사])</f>
        <v>760</v>
      </c>
      <c r="Y96" s="18">
        <f>SUMIF(표1_3[1차성장], "O", 표1_3[일꾼])</f>
        <v>790</v>
      </c>
      <c r="Z96" s="18">
        <f>SUMIF(표1_3[1차성장], "O", 표1_3[보안관])</f>
        <v>735</v>
      </c>
    </row>
    <row r="97" spans="1:26" hidden="1" x14ac:dyDescent="0.3">
      <c r="A97" s="5" t="s">
        <v>171</v>
      </c>
      <c r="B97" s="162"/>
      <c r="C97" s="119"/>
      <c r="D97" s="164"/>
      <c r="E97" s="164"/>
      <c r="F97" s="119"/>
      <c r="G97" s="163"/>
      <c r="H97" s="8"/>
      <c r="I97" s="8"/>
      <c r="J97" s="8"/>
      <c r="K97" s="8"/>
      <c r="L97" s="8"/>
      <c r="M97" s="8"/>
      <c r="N97" s="8"/>
      <c r="O97" s="8"/>
      <c r="P97" s="8"/>
      <c r="Q97" s="8">
        <f>IF(Q96&gt;=440,(IF(Q96&lt;3540,6+QUOTIENT(Q96-140,100),40+QUOTIENT((Q96-3540),150))),(IF(Q96&gt;=350,8,(IF(Q96&gt;=270,7,(IF(Q96&gt;=200,6,(IF(Q96&gt;=140,5,(IF(Q96&gt;=90,4,(IF(Q96&gt;=60,3,(IF(Q96&gt;=30,2,(IF(Q96&gt;=10,1,0)))))))))))))))))</f>
        <v>28</v>
      </c>
      <c r="R97" s="8">
        <f>IF(R96&gt;=440,(IF(R96&lt;3540,6+QUOTIENT(R96-140,100),40+QUOTIENT((R96-3540),150))),(IF(R96&gt;=350,8,(IF(R96&gt;=270,7,(IF(R96&gt;=200,6,(IF(R96&gt;=140,5,(IF(R96&gt;=90,4,(IF(R96&gt;=60,3,(IF(R96&gt;=30,2,(IF(R96&gt;=10,1,0)))))))))))))))))</f>
        <v>46</v>
      </c>
      <c r="S97" s="8">
        <f t="shared" ref="S97:Z97" si="26">IF(S96&gt;=440,(IF(S96&lt;3540,6+QUOTIENT(S96-140,100),40+QUOTIENT((S96-3540),150))),(IF(S96&gt;=350,8,(IF(S96&gt;=270,7,(IF(S96&gt;=200,6,(IF(S96&gt;=140,5,(IF(S96&gt;=90,4,(IF(S96&gt;=60,3,(IF(S96&gt;=30,2,(IF(S96&gt;=10,1,0)))))))))))))))))</f>
        <v>40</v>
      </c>
      <c r="T97" s="8">
        <f t="shared" si="26"/>
        <v>10</v>
      </c>
      <c r="U97" s="8">
        <f t="shared" si="26"/>
        <v>8</v>
      </c>
      <c r="V97" s="8">
        <f t="shared" si="26"/>
        <v>5</v>
      </c>
      <c r="W97" s="8">
        <f t="shared" si="26"/>
        <v>12</v>
      </c>
      <c r="X97" s="8">
        <f t="shared" si="26"/>
        <v>12</v>
      </c>
      <c r="Y97" s="8">
        <f t="shared" si="26"/>
        <v>12</v>
      </c>
      <c r="Z97" s="8">
        <f t="shared" si="26"/>
        <v>11</v>
      </c>
    </row>
    <row r="98" spans="1:26" hidden="1" x14ac:dyDescent="0.3">
      <c r="A98" s="119"/>
      <c r="B98" s="119"/>
      <c r="C98" s="119"/>
      <c r="D98" s="164"/>
      <c r="E98" s="164"/>
      <c r="F98" s="119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>
        <v>3195</v>
      </c>
      <c r="R98" s="121">
        <v>3600</v>
      </c>
      <c r="S98" s="121">
        <v>3110</v>
      </c>
      <c r="T98" s="121"/>
      <c r="U98" s="121">
        <v>930</v>
      </c>
      <c r="V98" s="121">
        <v>995</v>
      </c>
      <c r="W98" s="121"/>
      <c r="X98" s="121"/>
      <c r="Y98" s="121"/>
      <c r="Z98" s="121"/>
    </row>
    <row r="99" spans="1:26" hidden="1" x14ac:dyDescent="0.3">
      <c r="A99" s="5" t="s">
        <v>170</v>
      </c>
      <c r="B99" s="162" t="s">
        <v>667</v>
      </c>
      <c r="C99" s="119"/>
      <c r="D99" s="164"/>
      <c r="E99" s="164"/>
      <c r="F99" s="119"/>
      <c r="G99" s="163"/>
      <c r="H99" s="8"/>
      <c r="I99" s="8"/>
      <c r="J99" s="8"/>
      <c r="K99" s="8"/>
      <c r="L99" s="8"/>
      <c r="M99" s="8"/>
      <c r="N99" s="8"/>
      <c r="O99" s="8"/>
      <c r="P99" s="8"/>
      <c r="Q99" s="18">
        <f>SUMIF(표1_3[2차성장], "O", 표1_3[군사])</f>
        <v>2960</v>
      </c>
      <c r="R99" s="18">
        <f>SUMIF(표1_3[2차성장], "O", 표1_3[장군])</f>
        <v>4580</v>
      </c>
      <c r="S99" s="18">
        <f>SUMIF(표1_3[2차성장], "O", 표1_3[통솔자])</f>
        <v>3740</v>
      </c>
      <c r="T99" s="18">
        <f>SUMIF(표1_3[2차성장], "O", 표1_3[농부])</f>
        <v>630</v>
      </c>
      <c r="U99" s="18">
        <f>SUMIF(표1_3[2차성장], "O", 표1_3[요리사])</f>
        <v>735</v>
      </c>
      <c r="V99" s="18">
        <f>SUMIF(표1_3[2차성장], "O", 표1_3[상인])</f>
        <v>570</v>
      </c>
      <c r="W99" s="18">
        <f>SUMIF(표1_3[2차성장], "O", 표1_3[대장장이])</f>
        <v>825</v>
      </c>
      <c r="X99" s="18">
        <f>SUMIF(표1_3[2차성장], "O", 표1_3[교사])</f>
        <v>950</v>
      </c>
      <c r="Y99" s="18">
        <f>SUMIF(표1_3[2차성장], "O", 표1_3[일꾼])</f>
        <v>920</v>
      </c>
      <c r="Z99" s="18">
        <f>SUMIF(표1_3[2차성장], "O", 표1_3[보안관])</f>
        <v>735</v>
      </c>
    </row>
    <row r="100" spans="1:26" hidden="1" x14ac:dyDescent="0.3">
      <c r="A100" s="5" t="s">
        <v>171</v>
      </c>
      <c r="B100" s="162"/>
      <c r="C100" s="119"/>
      <c r="D100" s="164"/>
      <c r="E100" s="164"/>
      <c r="F100" s="119"/>
      <c r="G100" s="163"/>
      <c r="H100" s="8"/>
      <c r="I100" s="8"/>
      <c r="J100" s="8"/>
      <c r="K100" s="8"/>
      <c r="L100" s="8"/>
      <c r="M100" s="8"/>
      <c r="N100" s="8"/>
      <c r="O100" s="8"/>
      <c r="P100" s="8"/>
      <c r="Q100" s="8">
        <f>IF(Q99&gt;=440,(IF(Q99&lt;3540,6+QUOTIENT(Q99-140,100),40+QUOTIENT((Q99-3540),150))),(IF(Q99&gt;=350,8,(IF(Q99&gt;=270,7,(IF(Q99&gt;=200,6,(IF(Q99&gt;=140,5,(IF(Q99&gt;=90,4,(IF(Q99&gt;=60,3,(IF(Q99&gt;=30,2,(IF(Q99&gt;=10,1,0)))))))))))))))))</f>
        <v>34</v>
      </c>
      <c r="R100" s="8">
        <f>IF(R99&gt;=440,(IF(R99&lt;3540,6+QUOTIENT(R99-140,100),40+QUOTIENT((R99-3540),150))),(IF(R99&gt;=350,8,(IF(R99&gt;=270,7,(IF(R99&gt;=200,6,(IF(R99&gt;=140,5,(IF(R99&gt;=90,4,(IF(R99&gt;=60,3,(IF(R99&gt;=30,2,(IF(R99&gt;=10,1,0)))))))))))))))))</f>
        <v>46</v>
      </c>
      <c r="S100" s="8">
        <f t="shared" ref="S100:Z100" si="27">IF(S99&gt;=440,(IF(S99&lt;3540,6+QUOTIENT(S99-140,100),40+QUOTIENT((S99-3540),150))),(IF(S99&gt;=350,8,(IF(S99&gt;=270,7,(IF(S99&gt;=200,6,(IF(S99&gt;=140,5,(IF(S99&gt;=90,4,(IF(S99&gt;=60,3,(IF(S99&gt;=30,2,(IF(S99&gt;=10,1,0)))))))))))))))))</f>
        <v>41</v>
      </c>
      <c r="T100" s="8">
        <f t="shared" si="27"/>
        <v>10</v>
      </c>
      <c r="U100" s="8">
        <f t="shared" si="27"/>
        <v>11</v>
      </c>
      <c r="V100" s="8">
        <f t="shared" si="27"/>
        <v>10</v>
      </c>
      <c r="W100" s="8">
        <f t="shared" si="27"/>
        <v>12</v>
      </c>
      <c r="X100" s="8">
        <f t="shared" si="27"/>
        <v>14</v>
      </c>
      <c r="Y100" s="8">
        <f t="shared" si="27"/>
        <v>13</v>
      </c>
      <c r="Z100" s="8">
        <f t="shared" si="27"/>
        <v>11</v>
      </c>
    </row>
    <row r="101" spans="1:26" hidden="1" x14ac:dyDescent="0.3">
      <c r="A101" s="119"/>
      <c r="B101" s="119"/>
      <c r="C101" s="119"/>
      <c r="D101" s="164"/>
      <c r="E101" s="164"/>
      <c r="F101" s="119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>
        <v>12</v>
      </c>
      <c r="R101" s="121"/>
      <c r="S101" s="121"/>
      <c r="T101" s="121"/>
      <c r="U101" s="121">
        <v>4</v>
      </c>
      <c r="V101" s="121">
        <v>1</v>
      </c>
      <c r="W101" s="121"/>
      <c r="X101" s="121"/>
      <c r="Y101" s="121"/>
      <c r="Z101" s="121"/>
    </row>
    <row r="102" spans="1:26" hidden="1" x14ac:dyDescent="0.3">
      <c r="A102" s="5" t="s">
        <v>170</v>
      </c>
      <c r="B102" s="162" t="s">
        <v>672</v>
      </c>
      <c r="C102" s="119"/>
      <c r="D102" s="164"/>
      <c r="E102" s="164"/>
      <c r="F102" s="119"/>
      <c r="G102" s="163"/>
      <c r="H102" s="8"/>
      <c r="I102" s="8"/>
      <c r="J102" s="8"/>
      <c r="K102" s="8"/>
      <c r="L102" s="8"/>
      <c r="M102" s="8"/>
      <c r="N102" s="8"/>
      <c r="O102" s="8"/>
      <c r="P102" s="8"/>
      <c r="Q102" s="18">
        <f>SUMIF(표1_3[3차성장], "O", 표1_3[군사])</f>
        <v>2960</v>
      </c>
      <c r="R102" s="18">
        <f>SUMIF(표1_3[3차성장], "O", 표1_3[장군])</f>
        <v>4580</v>
      </c>
      <c r="S102" s="18">
        <f>SUMIF(표1_3[3차성장], "O", 표1_3[통솔자])</f>
        <v>3740</v>
      </c>
      <c r="T102" s="18">
        <f>SUMIF(표1_3[3차성장], "O", 표1_3[농부])</f>
        <v>630</v>
      </c>
      <c r="U102" s="18">
        <f>SUMIF(표1_3[3차성장],"O", 표1_3[요리사])</f>
        <v>735</v>
      </c>
      <c r="V102" s="18">
        <f>SUMIF(표1_3[3차성장], "O", 표1_3[상인])</f>
        <v>570</v>
      </c>
      <c r="W102" s="18">
        <f>SUMIF(표1_3[3차성장], "O", 표1_3[대장장이])</f>
        <v>825</v>
      </c>
      <c r="X102" s="18">
        <f>SUMIF(표1_3[3차성장], "O", 표1_3[교사])</f>
        <v>950</v>
      </c>
      <c r="Y102" s="18">
        <f>SUMIF(표1_3[3차성장], "O", 표1_3[일꾼])</f>
        <v>920</v>
      </c>
      <c r="Z102" s="18">
        <f>SUMIF(표1_3[3차성장], "O", 표1_3[보안관])</f>
        <v>735</v>
      </c>
    </row>
    <row r="103" spans="1:26" hidden="1" x14ac:dyDescent="0.3">
      <c r="A103" s="5" t="s">
        <v>171</v>
      </c>
      <c r="B103" s="162"/>
      <c r="C103" s="119"/>
      <c r="D103" s="164"/>
      <c r="E103" s="164"/>
      <c r="F103" s="119"/>
      <c r="G103" s="163"/>
      <c r="H103" s="8"/>
      <c r="I103" s="8"/>
      <c r="J103" s="8"/>
      <c r="K103" s="8"/>
      <c r="L103" s="8"/>
      <c r="M103" s="8"/>
      <c r="N103" s="8"/>
      <c r="O103" s="8"/>
      <c r="P103" s="8"/>
      <c r="Q103" s="8">
        <f>IF(Q102&gt;=440,(IF(Q102&lt;3540,6+QUOTIENT(Q102-140,100),40+QUOTIENT((Q102-3540),150))),(IF(Q102&gt;=350,8,(IF(Q102&gt;=270,7,(IF(Q102&gt;=200,6,(IF(Q102&gt;=140,5,(IF(Q102&gt;=90,4,(IF(Q102&gt;=60,3,(IF(Q102&gt;=30,2,(IF(Q102&gt;=10,1,0)))))))))))))))))</f>
        <v>34</v>
      </c>
      <c r="R103" s="8">
        <f>IF(R102&gt;=440,(IF(R102&lt;3540,6+QUOTIENT(R102-140,100),40+QUOTIENT((R102-3540),150))),(IF(R102&gt;=350,8,(IF(R102&gt;=270,7,(IF(R102&gt;=200,6,(IF(R102&gt;=140,5,(IF(R102&gt;=90,4,(IF(R102&gt;=60,3,(IF(R102&gt;=30,2,(IF(R102&gt;=10,1,0)))))))))))))))))</f>
        <v>46</v>
      </c>
      <c r="S103" s="8">
        <f t="shared" ref="S103:Z103" si="28">IF(S102&gt;=440,(IF(S102&lt;3540,6+QUOTIENT(S102-140,100),40+QUOTIENT((S102-3540),150))),(IF(S102&gt;=350,8,(IF(S102&gt;=270,7,(IF(S102&gt;=200,6,(IF(S102&gt;=140,5,(IF(S102&gt;=90,4,(IF(S102&gt;=60,3,(IF(S102&gt;=30,2,(IF(S102&gt;=10,1,0)))))))))))))))))</f>
        <v>41</v>
      </c>
      <c r="T103" s="8">
        <f t="shared" si="28"/>
        <v>10</v>
      </c>
      <c r="U103" s="8">
        <f t="shared" si="28"/>
        <v>11</v>
      </c>
      <c r="V103" s="8">
        <f t="shared" si="28"/>
        <v>10</v>
      </c>
      <c r="W103" s="8">
        <f t="shared" si="28"/>
        <v>12</v>
      </c>
      <c r="X103" s="8">
        <f t="shared" si="28"/>
        <v>14</v>
      </c>
      <c r="Y103" s="8">
        <f t="shared" si="28"/>
        <v>13</v>
      </c>
      <c r="Z103" s="8">
        <f t="shared" si="28"/>
        <v>11</v>
      </c>
    </row>
    <row r="104" spans="1:26" hidden="1" x14ac:dyDescent="0.3">
      <c r="A104" s="119"/>
      <c r="B104" s="119"/>
      <c r="C104" s="119"/>
      <c r="D104" s="164"/>
      <c r="E104" s="164"/>
      <c r="F104" s="119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</row>
    <row r="105" spans="1:26" hidden="1" x14ac:dyDescent="0.3">
      <c r="A105" s="5" t="s">
        <v>170</v>
      </c>
      <c r="B105" s="162" t="s">
        <v>674</v>
      </c>
      <c r="C105" s="119"/>
      <c r="D105" s="164"/>
      <c r="E105" s="164"/>
      <c r="F105" s="119"/>
      <c r="G105" s="163"/>
      <c r="H105" s="8"/>
      <c r="I105" s="8"/>
      <c r="J105" s="8"/>
      <c r="K105" s="8"/>
      <c r="L105" s="8"/>
      <c r="M105" s="8"/>
      <c r="N105" s="8"/>
      <c r="O105" s="8"/>
      <c r="P105" s="8"/>
      <c r="Q105" s="18">
        <f>SUMIF(표1_3[4차성장], "O", 표1_3[군사])</f>
        <v>2960</v>
      </c>
      <c r="R105" s="18">
        <f>SUMIF(표1_3[4차성장], "O", 표1_3[장군])</f>
        <v>4580</v>
      </c>
      <c r="S105" s="18">
        <f>SUMIF(표1_3[4차성장], "O", 표1_3[통솔자])</f>
        <v>3740</v>
      </c>
      <c r="T105" s="18">
        <f>SUMIF(표1_3[4차성장], "O", 표1_3[농부])</f>
        <v>630</v>
      </c>
      <c r="U105" s="18">
        <f>SUMIF(표1_3[4차성장],"O", 표1_3[요리사])</f>
        <v>735</v>
      </c>
      <c r="V105" s="18">
        <f>SUMIF(표1_3[4차성장],"O", 표1_3[상인])</f>
        <v>570</v>
      </c>
      <c r="W105" s="18">
        <f>SUMIF(표1_3[4차성장], "O", 표1_3[대장장이])</f>
        <v>825</v>
      </c>
      <c r="X105" s="18">
        <f>SUMIF(표1_3[4차성장],"O", 표1_3[교사])</f>
        <v>950</v>
      </c>
      <c r="Y105" s="18">
        <f>SUMIF(표1_3[4차성장], "O", 표1_3[일꾼])</f>
        <v>920</v>
      </c>
      <c r="Z105" s="18">
        <f>SUMIF(표1_3[4차성장], "O", 표1_3[보안관])</f>
        <v>735</v>
      </c>
    </row>
    <row r="106" spans="1:26" hidden="1" x14ac:dyDescent="0.3">
      <c r="A106" s="5" t="s">
        <v>171</v>
      </c>
      <c r="B106" s="162"/>
      <c r="C106" s="119"/>
      <c r="D106" s="164"/>
      <c r="E106" s="164"/>
      <c r="F106" s="119"/>
      <c r="G106" s="163"/>
      <c r="H106" s="8"/>
      <c r="I106" s="8"/>
      <c r="J106" s="8"/>
      <c r="K106" s="8"/>
      <c r="L106" s="8"/>
      <c r="M106" s="8"/>
      <c r="N106" s="8"/>
      <c r="O106" s="8"/>
      <c r="P106" s="8"/>
      <c r="Q106" s="8">
        <f>IF(Q105&gt;=440,(IF(Q105&lt;3540,6+QUOTIENT(Q105-140,100),40+QUOTIENT((Q105-3540),150))),(IF(Q105&gt;=350,8,(IF(Q105&gt;=270,7,(IF(Q105&gt;=200,6,(IF(Q105&gt;=140,5,(IF(Q105&gt;=90,4,(IF(Q105&gt;=60,3,(IF(Q105&gt;=30,2,(IF(Q105&gt;=10,1,0)))))))))))))))))</f>
        <v>34</v>
      </c>
      <c r="R106" s="8">
        <f>IF(R105&gt;=440,(IF(R105&lt;3540,6+QUOTIENT(R105-140,100),40+QUOTIENT((R105-3540),150))),(IF(R105&gt;=350,8,(IF(R105&gt;=270,7,(IF(R105&gt;=200,6,(IF(R105&gt;=140,5,(IF(R105&gt;=90,4,(IF(R105&gt;=60,3,(IF(R105&gt;=30,2,(IF(R105&gt;=10,1,0)))))))))))))))))</f>
        <v>46</v>
      </c>
      <c r="S106" s="8">
        <f t="shared" ref="S106:Z106" si="29">IF(S105&gt;=440,(IF(S105&lt;3540,6+QUOTIENT(S105-140,100),40+QUOTIENT((S105-3540),150))),(IF(S105&gt;=350,8,(IF(S105&gt;=270,7,(IF(S105&gt;=200,6,(IF(S105&gt;=140,5,(IF(S105&gt;=90,4,(IF(S105&gt;=60,3,(IF(S105&gt;=30,2,(IF(S105&gt;=10,1,0)))))))))))))))))</f>
        <v>41</v>
      </c>
      <c r="T106" s="8">
        <f t="shared" si="29"/>
        <v>10</v>
      </c>
      <c r="U106" s="8">
        <f t="shared" si="29"/>
        <v>11</v>
      </c>
      <c r="V106" s="8">
        <f t="shared" si="29"/>
        <v>10</v>
      </c>
      <c r="W106" s="8">
        <f t="shared" si="29"/>
        <v>12</v>
      </c>
      <c r="X106" s="8">
        <f t="shared" si="29"/>
        <v>14</v>
      </c>
      <c r="Y106" s="8">
        <f t="shared" si="29"/>
        <v>13</v>
      </c>
      <c r="Z106" s="8">
        <f t="shared" si="29"/>
        <v>11</v>
      </c>
    </row>
    <row r="107" spans="1:26" hidden="1" x14ac:dyDescent="0.3">
      <c r="A107" s="119"/>
      <c r="B107" s="119"/>
      <c r="C107" s="119"/>
      <c r="D107" s="164"/>
      <c r="E107" s="164"/>
      <c r="F107" s="119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</row>
    <row r="108" spans="1:26" hidden="1" x14ac:dyDescent="0.3">
      <c r="A108" s="5" t="s">
        <v>170</v>
      </c>
      <c r="B108" s="162" t="s">
        <v>680</v>
      </c>
      <c r="C108" s="119"/>
      <c r="D108" s="164"/>
      <c r="E108" s="164"/>
      <c r="F108" s="119"/>
      <c r="G108" s="163"/>
      <c r="H108" s="8"/>
      <c r="I108" s="8"/>
      <c r="J108" s="8"/>
      <c r="K108" s="8"/>
      <c r="L108" s="8"/>
      <c r="M108" s="8"/>
      <c r="N108" s="8"/>
      <c r="O108" s="8"/>
      <c r="P108" s="8"/>
      <c r="Q108" s="18">
        <f>SUMIF(표1_3[5차성장], "O", 표1_3[군사])</f>
        <v>2960</v>
      </c>
      <c r="R108" s="18">
        <f>SUMIF(표1_3[5차성장], "O", 표1_3[장군])</f>
        <v>4580</v>
      </c>
      <c r="S108" s="18">
        <f>SUMIF(표1_3[5차성장], "O", 표1_3[통솔자])</f>
        <v>3740</v>
      </c>
      <c r="T108" s="18">
        <f>SUMIF(표1_3[5차성장], "O", 표1_3[농부])</f>
        <v>630</v>
      </c>
      <c r="U108" s="18">
        <f>SUMIF(표1_3[5차성장],"O", 표1_3[요리사])</f>
        <v>735</v>
      </c>
      <c r="V108" s="18">
        <f>SUMIF(표1_3[5차성장],"O", 표1_3[상인])</f>
        <v>570</v>
      </c>
      <c r="W108" s="18">
        <f>SUMIF(표1_3[5차성장], "O", 표1_3[대장장이])</f>
        <v>825</v>
      </c>
      <c r="X108" s="18">
        <f>SUMIF(표1_3[5차성장],"O", 표1_3[교사])</f>
        <v>950</v>
      </c>
      <c r="Y108" s="18">
        <f>SUMIF(표1_3[5차성장], "O", 표1_3[일꾼])</f>
        <v>920</v>
      </c>
      <c r="Z108" s="18">
        <f>SUMIF(표1_3[5차성장], "O", 표1_3[보안관])</f>
        <v>735</v>
      </c>
    </row>
    <row r="109" spans="1:26" hidden="1" x14ac:dyDescent="0.3">
      <c r="A109" s="5" t="s">
        <v>171</v>
      </c>
      <c r="B109" s="162"/>
      <c r="C109" s="119"/>
      <c r="D109" s="164"/>
      <c r="E109" s="164"/>
      <c r="F109" s="119"/>
      <c r="G109" s="163"/>
      <c r="H109" s="8"/>
      <c r="I109" s="8"/>
      <c r="J109" s="8"/>
      <c r="K109" s="8"/>
      <c r="L109" s="8"/>
      <c r="M109" s="8"/>
      <c r="N109" s="8"/>
      <c r="O109" s="8"/>
      <c r="P109" s="8"/>
      <c r="Q109" s="8">
        <f>IF(Q108&gt;=440,(IF(Q108&lt;3540,6+QUOTIENT(Q108-140,100),40+QUOTIENT((Q108-3540),150))),(IF(Q108&gt;=350,8,(IF(Q108&gt;=270,7,(IF(Q108&gt;=200,6,(IF(Q108&gt;=140,5,(IF(Q108&gt;=90,4,(IF(Q108&gt;=60,3,(IF(Q108&gt;=30,2,(IF(Q108&gt;=10,1,0)))))))))))))))))</f>
        <v>34</v>
      </c>
      <c r="R109" s="8">
        <f>IF(R108&gt;=440,(IF(R108&lt;3540,6+QUOTIENT(R108-140,100),40+QUOTIENT((R108-3540),150))),(IF(R108&gt;=350,8,(IF(R108&gt;=270,7,(IF(R108&gt;=200,6,(IF(R108&gt;=140,5,(IF(R108&gt;=90,4,(IF(R108&gt;=60,3,(IF(R108&gt;=30,2,(IF(R108&gt;=10,1,0)))))))))))))))))</f>
        <v>46</v>
      </c>
      <c r="S109" s="8">
        <f t="shared" ref="S109:Z109" si="30">IF(S108&gt;=440,(IF(S108&lt;3540,6+QUOTIENT(S108-140,100),40+QUOTIENT((S108-3540),150))),(IF(S108&gt;=350,8,(IF(S108&gt;=270,7,(IF(S108&gt;=200,6,(IF(S108&gt;=140,5,(IF(S108&gt;=90,4,(IF(S108&gt;=60,3,(IF(S108&gt;=30,2,(IF(S108&gt;=10,1,0)))))))))))))))))</f>
        <v>41</v>
      </c>
      <c r="T109" s="8">
        <f t="shared" si="30"/>
        <v>10</v>
      </c>
      <c r="U109" s="8">
        <f t="shared" si="30"/>
        <v>11</v>
      </c>
      <c r="V109" s="8">
        <f t="shared" si="30"/>
        <v>10</v>
      </c>
      <c r="W109" s="8">
        <f t="shared" si="30"/>
        <v>12</v>
      </c>
      <c r="X109" s="8">
        <f t="shared" si="30"/>
        <v>14</v>
      </c>
      <c r="Y109" s="8">
        <f t="shared" si="30"/>
        <v>13</v>
      </c>
      <c r="Z109" s="8">
        <f t="shared" si="30"/>
        <v>11</v>
      </c>
    </row>
    <row r="110" spans="1:26" hidden="1" x14ac:dyDescent="0.3"/>
    <row r="111" spans="1:26" x14ac:dyDescent="0.3">
      <c r="Y111" s="96"/>
      <c r="Z111" s="96"/>
    </row>
    <row r="112" spans="1:26" x14ac:dyDescent="0.3">
      <c r="E112" s="164"/>
      <c r="Y112" s="96"/>
      <c r="Z112" s="96"/>
    </row>
    <row r="113" spans="5:26" x14ac:dyDescent="0.3">
      <c r="E113" s="165"/>
    </row>
    <row r="114" spans="5:26" x14ac:dyDescent="0.3">
      <c r="E114" s="165"/>
    </row>
    <row r="115" spans="5:26" x14ac:dyDescent="0.3">
      <c r="E115" s="165"/>
    </row>
    <row r="116" spans="5:26" x14ac:dyDescent="0.3">
      <c r="E116" s="165"/>
    </row>
    <row r="117" spans="5:26" x14ac:dyDescent="0.3">
      <c r="E117" s="165"/>
    </row>
    <row r="118" spans="5:26" x14ac:dyDescent="0.3">
      <c r="E118" s="164"/>
    </row>
    <row r="119" spans="5:26" x14ac:dyDescent="0.3">
      <c r="E119" s="164"/>
    </row>
    <row r="120" spans="5:26" x14ac:dyDescent="0.3">
      <c r="E120" s="165"/>
      <c r="U120" s="96"/>
    </row>
    <row r="121" spans="5:26" x14ac:dyDescent="0.3">
      <c r="E121" s="165"/>
      <c r="U121" s="96"/>
      <c r="V121" s="96"/>
      <c r="W121" s="96"/>
      <c r="X121" s="96"/>
      <c r="Y121" s="96"/>
      <c r="Z121" s="96"/>
    </row>
    <row r="122" spans="5:26" x14ac:dyDescent="0.3">
      <c r="E122" s="165"/>
      <c r="U122" s="96"/>
      <c r="V122" s="96"/>
      <c r="W122" s="96"/>
      <c r="X122" s="96"/>
      <c r="Y122" s="96"/>
      <c r="Z122" s="96"/>
    </row>
    <row r="123" spans="5:26" x14ac:dyDescent="0.3">
      <c r="E123" s="164"/>
      <c r="U123" s="96"/>
      <c r="V123" s="96"/>
      <c r="W123" s="96"/>
      <c r="X123" s="96"/>
      <c r="Y123" s="96"/>
      <c r="Z123" s="96"/>
    </row>
    <row r="124" spans="5:26" x14ac:dyDescent="0.3">
      <c r="E124" s="165"/>
      <c r="U124" s="96"/>
      <c r="V124" s="96"/>
      <c r="W124" s="96"/>
      <c r="X124" s="96"/>
      <c r="Y124" s="96"/>
      <c r="Z124" s="96"/>
    </row>
    <row r="125" spans="5:26" x14ac:dyDescent="0.3">
      <c r="E125" s="165"/>
      <c r="U125" s="96"/>
      <c r="V125" s="96"/>
      <c r="W125" s="96"/>
      <c r="X125" s="96"/>
      <c r="Y125" s="96"/>
      <c r="Z125" s="96"/>
    </row>
    <row r="126" spans="5:26" x14ac:dyDescent="0.3">
      <c r="E126" s="165"/>
    </row>
    <row r="127" spans="5:26" x14ac:dyDescent="0.3">
      <c r="E127" s="165"/>
    </row>
    <row r="128" spans="5:26" x14ac:dyDescent="0.3">
      <c r="E128" s="164"/>
    </row>
    <row r="129" spans="5:10" x14ac:dyDescent="0.3">
      <c r="E129" s="164"/>
    </row>
    <row r="130" spans="5:10" x14ac:dyDescent="0.3">
      <c r="E130" s="165"/>
      <c r="G130" s="101"/>
      <c r="H130" s="101"/>
      <c r="I130" s="101"/>
      <c r="J130" s="101"/>
    </row>
    <row r="131" spans="5:10" x14ac:dyDescent="0.3">
      <c r="E131" s="165"/>
      <c r="G131" s="101"/>
      <c r="H131" s="101"/>
      <c r="I131" s="101"/>
      <c r="J131" s="101"/>
    </row>
    <row r="132" spans="5:10" x14ac:dyDescent="0.3">
      <c r="E132" s="165"/>
    </row>
  </sheetData>
  <mergeCells count="2">
    <mergeCell ref="AS1:BB1"/>
    <mergeCell ref="AH1:AQ1"/>
  </mergeCells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BBC5-569B-4ED6-AC1F-FC217615EDCD}">
  <sheetPr codeName="Sheet6">
    <tabColor theme="9"/>
  </sheetPr>
  <dimension ref="A1:G881"/>
  <sheetViews>
    <sheetView topLeftCell="A872" zoomScale="130" zoomScaleNormal="130" workbookViewId="0">
      <selection activeCell="E878" sqref="E878"/>
    </sheetView>
  </sheetViews>
  <sheetFormatPr defaultRowHeight="16.5" x14ac:dyDescent="0.3"/>
  <cols>
    <col min="1" max="1" width="11" bestFit="1" customWidth="1"/>
    <col min="7" max="7" width="10.5" customWidth="1"/>
  </cols>
  <sheetData>
    <row r="1" spans="1:7" x14ac:dyDescent="0.25">
      <c r="A1" t="s">
        <v>802</v>
      </c>
      <c r="B1" s="206" t="s">
        <v>800</v>
      </c>
      <c r="C1" s="206" t="s">
        <v>0</v>
      </c>
      <c r="D1" s="2" t="s">
        <v>1</v>
      </c>
      <c r="E1" s="2" t="s">
        <v>785</v>
      </c>
      <c r="F1" s="2" t="s">
        <v>2</v>
      </c>
      <c r="G1" s="207" t="s">
        <v>156</v>
      </c>
    </row>
    <row r="2" spans="1:7" hidden="1" x14ac:dyDescent="0.25">
      <c r="A2" t="s">
        <v>804</v>
      </c>
      <c r="B2" s="208" t="s">
        <v>801</v>
      </c>
      <c r="C2" s="209" t="s">
        <v>11</v>
      </c>
      <c r="D2" s="209" t="s">
        <v>12</v>
      </c>
      <c r="E2" s="210" t="s">
        <v>799</v>
      </c>
      <c r="F2" s="211" t="s">
        <v>13</v>
      </c>
      <c r="G2" s="211">
        <v>10</v>
      </c>
    </row>
    <row r="3" spans="1:7" hidden="1" x14ac:dyDescent="0.25">
      <c r="A3" t="s">
        <v>805</v>
      </c>
      <c r="B3" s="208" t="s">
        <v>801</v>
      </c>
      <c r="C3" s="209" t="s">
        <v>11</v>
      </c>
      <c r="D3" s="209" t="s">
        <v>12</v>
      </c>
      <c r="E3" s="210" t="s">
        <v>799</v>
      </c>
      <c r="F3" s="211" t="s">
        <v>17</v>
      </c>
      <c r="G3" s="211">
        <v>10</v>
      </c>
    </row>
    <row r="4" spans="1:7" hidden="1" x14ac:dyDescent="0.25">
      <c r="A4" t="s">
        <v>903</v>
      </c>
      <c r="B4" s="208" t="s">
        <v>801</v>
      </c>
      <c r="C4" s="209" t="s">
        <v>11</v>
      </c>
      <c r="D4" s="209" t="s">
        <v>12</v>
      </c>
      <c r="E4" s="210" t="s">
        <v>799</v>
      </c>
      <c r="F4" s="211" t="s">
        <v>210</v>
      </c>
      <c r="G4" s="211">
        <v>10</v>
      </c>
    </row>
    <row r="5" spans="1:7" hidden="1" x14ac:dyDescent="0.25">
      <c r="A5" t="s">
        <v>910</v>
      </c>
      <c r="B5" s="208" t="s">
        <v>801</v>
      </c>
      <c r="C5" s="209" t="s">
        <v>11</v>
      </c>
      <c r="D5" s="209" t="s">
        <v>12</v>
      </c>
      <c r="E5" s="210" t="s">
        <v>799</v>
      </c>
      <c r="F5" s="211" t="s">
        <v>24</v>
      </c>
      <c r="G5" s="211">
        <v>10</v>
      </c>
    </row>
    <row r="6" spans="1:7" hidden="1" x14ac:dyDescent="0.25">
      <c r="A6" t="s">
        <v>913</v>
      </c>
      <c r="B6" s="208" t="s">
        <v>801</v>
      </c>
      <c r="C6" s="209" t="s">
        <v>11</v>
      </c>
      <c r="D6" s="209" t="s">
        <v>12</v>
      </c>
      <c r="E6" s="210" t="s">
        <v>799</v>
      </c>
      <c r="F6" s="211" t="s">
        <v>27</v>
      </c>
      <c r="G6" s="211">
        <v>10</v>
      </c>
    </row>
    <row r="7" spans="1:7" hidden="1" x14ac:dyDescent="0.25">
      <c r="A7" t="s">
        <v>915</v>
      </c>
      <c r="B7" s="208" t="s">
        <v>801</v>
      </c>
      <c r="C7" s="209" t="s">
        <v>11</v>
      </c>
      <c r="D7" s="209" t="s">
        <v>12</v>
      </c>
      <c r="E7" s="210" t="s">
        <v>799</v>
      </c>
      <c r="F7" s="211" t="s">
        <v>211</v>
      </c>
      <c r="G7" s="211">
        <v>10</v>
      </c>
    </row>
    <row r="8" spans="1:7" hidden="1" x14ac:dyDescent="0.25">
      <c r="A8" t="s">
        <v>922</v>
      </c>
      <c r="B8" s="208" t="s">
        <v>801</v>
      </c>
      <c r="C8" s="209" t="s">
        <v>11</v>
      </c>
      <c r="D8" s="209" t="s">
        <v>12</v>
      </c>
      <c r="E8" s="210" t="s">
        <v>799</v>
      </c>
      <c r="F8" s="211" t="s">
        <v>187</v>
      </c>
      <c r="G8" s="211">
        <v>10</v>
      </c>
    </row>
    <row r="9" spans="1:7" hidden="1" x14ac:dyDescent="0.25">
      <c r="A9" t="s">
        <v>933</v>
      </c>
      <c r="B9" s="208" t="s">
        <v>801</v>
      </c>
      <c r="C9" s="209" t="s">
        <v>11</v>
      </c>
      <c r="D9" s="209" t="s">
        <v>12</v>
      </c>
      <c r="E9" s="209" t="s">
        <v>798</v>
      </c>
      <c r="F9" s="211" t="s">
        <v>33</v>
      </c>
      <c r="G9" s="211">
        <v>9</v>
      </c>
    </row>
    <row r="10" spans="1:7" hidden="1" x14ac:dyDescent="0.25">
      <c r="A10" t="s">
        <v>958</v>
      </c>
      <c r="B10" s="208" t="s">
        <v>801</v>
      </c>
      <c r="C10" s="209" t="s">
        <v>11</v>
      </c>
      <c r="D10" s="209" t="s">
        <v>12</v>
      </c>
      <c r="E10" s="209" t="s">
        <v>797</v>
      </c>
      <c r="F10" s="212" t="s">
        <v>179</v>
      </c>
      <c r="G10" s="212">
        <v>9</v>
      </c>
    </row>
    <row r="11" spans="1:7" hidden="1" x14ac:dyDescent="0.25">
      <c r="A11" t="s">
        <v>960</v>
      </c>
      <c r="B11" s="208" t="s">
        <v>801</v>
      </c>
      <c r="C11" s="209" t="s">
        <v>11</v>
      </c>
      <c r="D11" s="209" t="s">
        <v>12</v>
      </c>
      <c r="E11" s="209" t="s">
        <v>797</v>
      </c>
      <c r="F11" s="212" t="s">
        <v>180</v>
      </c>
      <c r="G11" s="212">
        <v>10</v>
      </c>
    </row>
    <row r="12" spans="1:7" hidden="1" x14ac:dyDescent="0.25">
      <c r="B12" s="208" t="s">
        <v>801</v>
      </c>
      <c r="C12" s="209" t="s">
        <v>11</v>
      </c>
      <c r="D12" s="209" t="s">
        <v>12</v>
      </c>
      <c r="E12" s="209" t="s">
        <v>788</v>
      </c>
      <c r="F12" s="212" t="s">
        <v>215</v>
      </c>
      <c r="G12" s="212">
        <v>9</v>
      </c>
    </row>
    <row r="13" spans="1:7" hidden="1" x14ac:dyDescent="0.25">
      <c r="B13" s="208" t="s">
        <v>801</v>
      </c>
      <c r="C13" s="209" t="s">
        <v>11</v>
      </c>
      <c r="D13" s="209" t="s">
        <v>12</v>
      </c>
      <c r="E13" s="209" t="s">
        <v>788</v>
      </c>
      <c r="F13" s="212" t="s">
        <v>216</v>
      </c>
      <c r="G13" s="212">
        <v>8</v>
      </c>
    </row>
    <row r="14" spans="1:7" hidden="1" x14ac:dyDescent="0.25">
      <c r="B14" s="208" t="s">
        <v>801</v>
      </c>
      <c r="C14" s="209" t="s">
        <v>11</v>
      </c>
      <c r="D14" s="209" t="s">
        <v>12</v>
      </c>
      <c r="E14" s="209" t="s">
        <v>787</v>
      </c>
      <c r="F14" s="212" t="s">
        <v>770</v>
      </c>
      <c r="G14" s="212">
        <v>0</v>
      </c>
    </row>
    <row r="15" spans="1:7" hidden="1" x14ac:dyDescent="0.25">
      <c r="B15" s="208" t="s">
        <v>801</v>
      </c>
      <c r="C15" s="209" t="s">
        <v>11</v>
      </c>
      <c r="D15" s="209" t="s">
        <v>12</v>
      </c>
      <c r="E15" s="209" t="s">
        <v>787</v>
      </c>
      <c r="F15" s="212" t="s">
        <v>223</v>
      </c>
      <c r="G15" s="212">
        <v>0</v>
      </c>
    </row>
    <row r="16" spans="1:7" hidden="1" x14ac:dyDescent="0.25">
      <c r="B16" s="208" t="s">
        <v>801</v>
      </c>
      <c r="C16" s="209" t="s">
        <v>11</v>
      </c>
      <c r="D16" s="209" t="s">
        <v>12</v>
      </c>
      <c r="E16" s="209" t="s">
        <v>786</v>
      </c>
      <c r="F16" s="212" t="s">
        <v>777</v>
      </c>
      <c r="G16" s="212">
        <v>6</v>
      </c>
    </row>
    <row r="17" spans="2:7" hidden="1" x14ac:dyDescent="0.25">
      <c r="B17" s="208" t="s">
        <v>801</v>
      </c>
      <c r="C17" s="209" t="s">
        <v>11</v>
      </c>
      <c r="D17" s="209" t="s">
        <v>12</v>
      </c>
      <c r="E17" s="209" t="s">
        <v>786</v>
      </c>
      <c r="F17" s="212" t="s">
        <v>778</v>
      </c>
      <c r="G17" s="212">
        <v>7</v>
      </c>
    </row>
    <row r="18" spans="2:7" hidden="1" x14ac:dyDescent="0.25">
      <c r="B18" s="208" t="s">
        <v>801</v>
      </c>
      <c r="C18" s="209" t="s">
        <v>11</v>
      </c>
      <c r="D18" s="209" t="s">
        <v>34</v>
      </c>
      <c r="E18" s="210" t="s">
        <v>799</v>
      </c>
      <c r="F18" s="211" t="s">
        <v>35</v>
      </c>
      <c r="G18" s="211">
        <v>10</v>
      </c>
    </row>
    <row r="19" spans="2:7" hidden="1" x14ac:dyDescent="0.25">
      <c r="B19" s="208" t="s">
        <v>801</v>
      </c>
      <c r="C19" s="209" t="s">
        <v>11</v>
      </c>
      <c r="D19" s="213" t="s">
        <v>34</v>
      </c>
      <c r="E19" s="210" t="s">
        <v>799</v>
      </c>
      <c r="F19" s="212" t="s">
        <v>38</v>
      </c>
      <c r="G19" s="212">
        <v>10</v>
      </c>
    </row>
    <row r="20" spans="2:7" hidden="1" x14ac:dyDescent="0.25">
      <c r="B20" s="208" t="s">
        <v>801</v>
      </c>
      <c r="C20" s="209" t="s">
        <v>11</v>
      </c>
      <c r="D20" s="213" t="s">
        <v>41</v>
      </c>
      <c r="E20" s="210" t="s">
        <v>799</v>
      </c>
      <c r="F20" s="212" t="s">
        <v>42</v>
      </c>
      <c r="G20" s="212">
        <v>5</v>
      </c>
    </row>
    <row r="21" spans="2:7" hidden="1" x14ac:dyDescent="0.25">
      <c r="B21" s="208" t="s">
        <v>801</v>
      </c>
      <c r="C21" s="209" t="s">
        <v>11</v>
      </c>
      <c r="D21" s="213" t="s">
        <v>41</v>
      </c>
      <c r="E21" s="210" t="s">
        <v>799</v>
      </c>
      <c r="F21" s="212" t="s">
        <v>44</v>
      </c>
      <c r="G21" s="212">
        <v>5</v>
      </c>
    </row>
    <row r="22" spans="2:7" hidden="1" x14ac:dyDescent="0.25">
      <c r="B22" s="208" t="s">
        <v>801</v>
      </c>
      <c r="C22" s="209" t="s">
        <v>11</v>
      </c>
      <c r="D22" s="213" t="s">
        <v>41</v>
      </c>
      <c r="E22" s="210" t="s">
        <v>799</v>
      </c>
      <c r="F22" s="212" t="s">
        <v>45</v>
      </c>
      <c r="G22" s="212">
        <v>5</v>
      </c>
    </row>
    <row r="23" spans="2:7" hidden="1" x14ac:dyDescent="0.25">
      <c r="B23" s="208" t="s">
        <v>801</v>
      </c>
      <c r="C23" s="209" t="s">
        <v>11</v>
      </c>
      <c r="D23" s="213" t="s">
        <v>46</v>
      </c>
      <c r="E23" s="210" t="s">
        <v>799</v>
      </c>
      <c r="F23" s="212" t="s">
        <v>47</v>
      </c>
      <c r="G23" s="212">
        <v>4</v>
      </c>
    </row>
    <row r="24" spans="2:7" hidden="1" x14ac:dyDescent="0.25">
      <c r="B24" s="208" t="s">
        <v>801</v>
      </c>
      <c r="C24" s="209" t="s">
        <v>48</v>
      </c>
      <c r="D24" s="213" t="s">
        <v>12</v>
      </c>
      <c r="E24" s="210" t="s">
        <v>799</v>
      </c>
      <c r="F24" s="212" t="s">
        <v>49</v>
      </c>
      <c r="G24" s="212">
        <v>10</v>
      </c>
    </row>
    <row r="25" spans="2:7" hidden="1" x14ac:dyDescent="0.25">
      <c r="B25" s="208" t="s">
        <v>801</v>
      </c>
      <c r="C25" s="209" t="s">
        <v>48</v>
      </c>
      <c r="D25" s="209" t="s">
        <v>12</v>
      </c>
      <c r="E25" s="210" t="s">
        <v>799</v>
      </c>
      <c r="F25" s="211" t="s">
        <v>52</v>
      </c>
      <c r="G25" s="211">
        <v>10</v>
      </c>
    </row>
    <row r="26" spans="2:7" hidden="1" x14ac:dyDescent="0.25">
      <c r="B26" s="208" t="s">
        <v>801</v>
      </c>
      <c r="C26" s="209" t="s">
        <v>48</v>
      </c>
      <c r="D26" s="209" t="s">
        <v>12</v>
      </c>
      <c r="E26" s="210" t="s">
        <v>799</v>
      </c>
      <c r="F26" s="211" t="s">
        <v>55</v>
      </c>
      <c r="G26" s="211">
        <v>10</v>
      </c>
    </row>
    <row r="27" spans="2:7" hidden="1" x14ac:dyDescent="0.25">
      <c r="B27" s="208" t="s">
        <v>801</v>
      </c>
      <c r="C27" s="209" t="s">
        <v>48</v>
      </c>
      <c r="D27" s="209" t="s">
        <v>12</v>
      </c>
      <c r="E27" s="210" t="s">
        <v>799</v>
      </c>
      <c r="F27" s="211" t="s">
        <v>58</v>
      </c>
      <c r="G27" s="211">
        <v>10</v>
      </c>
    </row>
    <row r="28" spans="2:7" hidden="1" x14ac:dyDescent="0.25">
      <c r="B28" s="208" t="s">
        <v>801</v>
      </c>
      <c r="C28" s="209" t="s">
        <v>48</v>
      </c>
      <c r="D28" s="209" t="s">
        <v>12</v>
      </c>
      <c r="E28" s="210" t="s">
        <v>799</v>
      </c>
      <c r="F28" s="211" t="s">
        <v>61</v>
      </c>
      <c r="G28" s="211">
        <v>10</v>
      </c>
    </row>
    <row r="29" spans="2:7" hidden="1" x14ac:dyDescent="0.25">
      <c r="B29" s="208" t="s">
        <v>801</v>
      </c>
      <c r="C29" s="209" t="s">
        <v>48</v>
      </c>
      <c r="D29" s="209" t="s">
        <v>12</v>
      </c>
      <c r="E29" s="210" t="s">
        <v>799</v>
      </c>
      <c r="F29" s="211" t="s">
        <v>64</v>
      </c>
      <c r="G29" s="211">
        <v>10</v>
      </c>
    </row>
    <row r="30" spans="2:7" hidden="1" x14ac:dyDescent="0.25">
      <c r="B30" s="208" t="s">
        <v>801</v>
      </c>
      <c r="C30" s="209" t="s">
        <v>48</v>
      </c>
      <c r="D30" s="209" t="s">
        <v>12</v>
      </c>
      <c r="E30" s="210" t="s">
        <v>799</v>
      </c>
      <c r="F30" s="211" t="s">
        <v>67</v>
      </c>
      <c r="G30" s="211">
        <v>10</v>
      </c>
    </row>
    <row r="31" spans="2:7" hidden="1" x14ac:dyDescent="0.25">
      <c r="B31" s="208" t="s">
        <v>801</v>
      </c>
      <c r="C31" s="209" t="s">
        <v>48</v>
      </c>
      <c r="D31" s="209" t="s">
        <v>12</v>
      </c>
      <c r="E31" s="210" t="s">
        <v>799</v>
      </c>
      <c r="F31" s="211" t="s">
        <v>213</v>
      </c>
      <c r="G31" s="211">
        <v>10</v>
      </c>
    </row>
    <row r="32" spans="2:7" hidden="1" x14ac:dyDescent="0.25">
      <c r="B32" s="208" t="s">
        <v>801</v>
      </c>
      <c r="C32" s="209" t="s">
        <v>48</v>
      </c>
      <c r="D32" s="209" t="s">
        <v>12</v>
      </c>
      <c r="E32" s="209" t="s">
        <v>798</v>
      </c>
      <c r="F32" s="211" t="s">
        <v>72</v>
      </c>
      <c r="G32" s="211">
        <v>10</v>
      </c>
    </row>
    <row r="33" spans="2:7" hidden="1" x14ac:dyDescent="0.25">
      <c r="B33" s="208" t="s">
        <v>801</v>
      </c>
      <c r="C33" s="209" t="s">
        <v>48</v>
      </c>
      <c r="D33" s="209" t="s">
        <v>12</v>
      </c>
      <c r="E33" s="209" t="s">
        <v>798</v>
      </c>
      <c r="F33" s="211" t="s">
        <v>73</v>
      </c>
      <c r="G33" s="211">
        <v>10</v>
      </c>
    </row>
    <row r="34" spans="2:7" hidden="1" x14ac:dyDescent="0.25">
      <c r="B34" s="208" t="s">
        <v>801</v>
      </c>
      <c r="C34" s="209" t="s">
        <v>48</v>
      </c>
      <c r="D34" s="209" t="s">
        <v>12</v>
      </c>
      <c r="E34" s="209" t="s">
        <v>797</v>
      </c>
      <c r="F34" s="212" t="s">
        <v>181</v>
      </c>
      <c r="G34" s="212">
        <v>10</v>
      </c>
    </row>
    <row r="35" spans="2:7" hidden="1" x14ac:dyDescent="0.25">
      <c r="B35" s="208" t="s">
        <v>801</v>
      </c>
      <c r="C35" s="209" t="s">
        <v>48</v>
      </c>
      <c r="D35" s="209" t="s">
        <v>12</v>
      </c>
      <c r="E35" s="209" t="s">
        <v>797</v>
      </c>
      <c r="F35" s="212" t="s">
        <v>182</v>
      </c>
      <c r="G35" s="212">
        <v>7</v>
      </c>
    </row>
    <row r="36" spans="2:7" hidden="1" x14ac:dyDescent="0.25">
      <c r="B36" s="208" t="s">
        <v>801</v>
      </c>
      <c r="C36" s="209" t="s">
        <v>48</v>
      </c>
      <c r="D36" s="209" t="s">
        <v>12</v>
      </c>
      <c r="E36" s="209" t="s">
        <v>788</v>
      </c>
      <c r="F36" s="212" t="s">
        <v>217</v>
      </c>
      <c r="G36" s="212">
        <v>10</v>
      </c>
    </row>
    <row r="37" spans="2:7" hidden="1" x14ac:dyDescent="0.25">
      <c r="B37" s="208" t="s">
        <v>801</v>
      </c>
      <c r="C37" s="209" t="s">
        <v>48</v>
      </c>
      <c r="D37" s="209" t="s">
        <v>12</v>
      </c>
      <c r="E37" s="209" t="s">
        <v>788</v>
      </c>
      <c r="F37" s="212" t="s">
        <v>218</v>
      </c>
      <c r="G37" s="212">
        <v>9</v>
      </c>
    </row>
    <row r="38" spans="2:7" hidden="1" x14ac:dyDescent="0.25">
      <c r="B38" s="208" t="s">
        <v>801</v>
      </c>
      <c r="C38" s="209" t="s">
        <v>48</v>
      </c>
      <c r="D38" s="209" t="s">
        <v>12</v>
      </c>
      <c r="E38" s="209" t="s">
        <v>787</v>
      </c>
      <c r="F38" s="212" t="s">
        <v>771</v>
      </c>
      <c r="G38" s="212">
        <v>0</v>
      </c>
    </row>
    <row r="39" spans="2:7" hidden="1" x14ac:dyDescent="0.25">
      <c r="B39" s="208" t="s">
        <v>801</v>
      </c>
      <c r="C39" s="209" t="s">
        <v>48</v>
      </c>
      <c r="D39" s="209" t="s">
        <v>12</v>
      </c>
      <c r="E39" s="209" t="s">
        <v>787</v>
      </c>
      <c r="F39" s="212" t="s">
        <v>772</v>
      </c>
      <c r="G39" s="212">
        <v>0</v>
      </c>
    </row>
    <row r="40" spans="2:7" hidden="1" x14ac:dyDescent="0.25">
      <c r="B40" s="208" t="s">
        <v>801</v>
      </c>
      <c r="C40" s="209" t="s">
        <v>48</v>
      </c>
      <c r="D40" s="209" t="s">
        <v>12</v>
      </c>
      <c r="E40" s="209" t="s">
        <v>786</v>
      </c>
      <c r="F40" s="212" t="s">
        <v>779</v>
      </c>
      <c r="G40" s="212">
        <v>7</v>
      </c>
    </row>
    <row r="41" spans="2:7" hidden="1" x14ac:dyDescent="0.25">
      <c r="B41" s="208" t="s">
        <v>801</v>
      </c>
      <c r="C41" s="209" t="s">
        <v>48</v>
      </c>
      <c r="D41" s="209" t="s">
        <v>12</v>
      </c>
      <c r="E41" s="209" t="s">
        <v>786</v>
      </c>
      <c r="F41" s="212" t="s">
        <v>780</v>
      </c>
      <c r="G41" s="212">
        <v>6</v>
      </c>
    </row>
    <row r="42" spans="2:7" hidden="1" x14ac:dyDescent="0.25">
      <c r="B42" s="208" t="s">
        <v>801</v>
      </c>
      <c r="C42" s="209" t="s">
        <v>48</v>
      </c>
      <c r="D42" s="209" t="s">
        <v>34</v>
      </c>
      <c r="E42" s="210" t="s">
        <v>799</v>
      </c>
      <c r="F42" s="211" t="s">
        <v>74</v>
      </c>
      <c r="G42" s="211">
        <v>10</v>
      </c>
    </row>
    <row r="43" spans="2:7" hidden="1" x14ac:dyDescent="0.25">
      <c r="B43" s="208" t="s">
        <v>801</v>
      </c>
      <c r="C43" s="209" t="s">
        <v>48</v>
      </c>
      <c r="D43" s="209" t="s">
        <v>34</v>
      </c>
      <c r="E43" s="210" t="s">
        <v>799</v>
      </c>
      <c r="F43" s="211" t="s">
        <v>77</v>
      </c>
      <c r="G43" s="211">
        <v>10</v>
      </c>
    </row>
    <row r="44" spans="2:7" hidden="1" x14ac:dyDescent="0.25">
      <c r="B44" s="208" t="s">
        <v>801</v>
      </c>
      <c r="C44" s="209" t="s">
        <v>48</v>
      </c>
      <c r="D44" s="209" t="s">
        <v>41</v>
      </c>
      <c r="E44" s="210" t="s">
        <v>799</v>
      </c>
      <c r="F44" s="211" t="s">
        <v>80</v>
      </c>
      <c r="G44" s="211">
        <v>5</v>
      </c>
    </row>
    <row r="45" spans="2:7" hidden="1" x14ac:dyDescent="0.25">
      <c r="B45" s="208" t="s">
        <v>801</v>
      </c>
      <c r="C45" s="209" t="s">
        <v>48</v>
      </c>
      <c r="D45" s="209" t="s">
        <v>41</v>
      </c>
      <c r="E45" s="210" t="s">
        <v>799</v>
      </c>
      <c r="F45" s="211" t="s">
        <v>81</v>
      </c>
      <c r="G45" s="211">
        <v>5</v>
      </c>
    </row>
    <row r="46" spans="2:7" hidden="1" x14ac:dyDescent="0.25">
      <c r="B46" s="208" t="s">
        <v>801</v>
      </c>
      <c r="C46" s="209" t="s">
        <v>48</v>
      </c>
      <c r="D46" s="209" t="s">
        <v>46</v>
      </c>
      <c r="E46" s="210" t="s">
        <v>799</v>
      </c>
      <c r="F46" s="211" t="s">
        <v>82</v>
      </c>
      <c r="G46" s="211">
        <v>4</v>
      </c>
    </row>
    <row r="47" spans="2:7" hidden="1" x14ac:dyDescent="0.25">
      <c r="B47" s="208" t="s">
        <v>801</v>
      </c>
      <c r="C47" s="209" t="s">
        <v>83</v>
      </c>
      <c r="D47" s="209" t="s">
        <v>12</v>
      </c>
      <c r="E47" s="210" t="s">
        <v>799</v>
      </c>
      <c r="F47" s="211" t="s">
        <v>84</v>
      </c>
      <c r="G47" s="211">
        <v>10</v>
      </c>
    </row>
    <row r="48" spans="2:7" hidden="1" x14ac:dyDescent="0.25">
      <c r="B48" s="208" t="s">
        <v>801</v>
      </c>
      <c r="C48" s="209" t="s">
        <v>83</v>
      </c>
      <c r="D48" s="209" t="s">
        <v>12</v>
      </c>
      <c r="E48" s="210" t="s">
        <v>799</v>
      </c>
      <c r="F48" s="211" t="s">
        <v>86</v>
      </c>
      <c r="G48" s="211">
        <v>10</v>
      </c>
    </row>
    <row r="49" spans="2:7" hidden="1" x14ac:dyDescent="0.25">
      <c r="B49" s="208" t="s">
        <v>801</v>
      </c>
      <c r="C49" s="209" t="s">
        <v>83</v>
      </c>
      <c r="D49" s="209" t="s">
        <v>12</v>
      </c>
      <c r="E49" s="210" t="s">
        <v>799</v>
      </c>
      <c r="F49" s="211" t="s">
        <v>89</v>
      </c>
      <c r="G49" s="211">
        <v>10</v>
      </c>
    </row>
    <row r="50" spans="2:7" hidden="1" x14ac:dyDescent="0.25">
      <c r="B50" s="208" t="s">
        <v>801</v>
      </c>
      <c r="C50" s="209" t="s">
        <v>83</v>
      </c>
      <c r="D50" s="209" t="s">
        <v>12</v>
      </c>
      <c r="E50" s="210" t="s">
        <v>799</v>
      </c>
      <c r="F50" s="211" t="s">
        <v>214</v>
      </c>
      <c r="G50" s="211">
        <v>10</v>
      </c>
    </row>
    <row r="51" spans="2:7" hidden="1" x14ac:dyDescent="0.25">
      <c r="B51" s="208" t="s">
        <v>801</v>
      </c>
      <c r="C51" s="209" t="s">
        <v>83</v>
      </c>
      <c r="D51" s="209" t="s">
        <v>12</v>
      </c>
      <c r="E51" s="210" t="s">
        <v>799</v>
      </c>
      <c r="F51" s="211" t="s">
        <v>94</v>
      </c>
      <c r="G51" s="211">
        <v>10</v>
      </c>
    </row>
    <row r="52" spans="2:7" hidden="1" x14ac:dyDescent="0.25">
      <c r="B52" s="208" t="s">
        <v>801</v>
      </c>
      <c r="C52" s="209" t="s">
        <v>83</v>
      </c>
      <c r="D52" s="209" t="s">
        <v>12</v>
      </c>
      <c r="E52" s="210" t="s">
        <v>799</v>
      </c>
      <c r="F52" s="211" t="s">
        <v>97</v>
      </c>
      <c r="G52" s="211">
        <v>10</v>
      </c>
    </row>
    <row r="53" spans="2:7" hidden="1" x14ac:dyDescent="0.25">
      <c r="B53" s="208" t="s">
        <v>801</v>
      </c>
      <c r="C53" s="209" t="s">
        <v>83</v>
      </c>
      <c r="D53" s="209" t="s">
        <v>12</v>
      </c>
      <c r="E53" s="210" t="s">
        <v>799</v>
      </c>
      <c r="F53" s="211" t="s">
        <v>100</v>
      </c>
      <c r="G53" s="211">
        <v>10</v>
      </c>
    </row>
    <row r="54" spans="2:7" hidden="1" x14ac:dyDescent="0.25">
      <c r="B54" s="208" t="s">
        <v>801</v>
      </c>
      <c r="C54" s="209" t="s">
        <v>83</v>
      </c>
      <c r="D54" s="209" t="s">
        <v>12</v>
      </c>
      <c r="E54" s="210" t="s">
        <v>799</v>
      </c>
      <c r="F54" s="211" t="s">
        <v>212</v>
      </c>
      <c r="G54" s="211">
        <v>10</v>
      </c>
    </row>
    <row r="55" spans="2:7" hidden="1" x14ac:dyDescent="0.25">
      <c r="B55" s="208" t="s">
        <v>801</v>
      </c>
      <c r="C55" s="209" t="s">
        <v>83</v>
      </c>
      <c r="D55" s="209" t="s">
        <v>12</v>
      </c>
      <c r="E55" s="209" t="s">
        <v>798</v>
      </c>
      <c r="F55" s="211" t="s">
        <v>104</v>
      </c>
      <c r="G55" s="211">
        <v>10</v>
      </c>
    </row>
    <row r="56" spans="2:7" hidden="1" x14ac:dyDescent="0.25">
      <c r="B56" s="208" t="s">
        <v>801</v>
      </c>
      <c r="C56" s="209" t="s">
        <v>83</v>
      </c>
      <c r="D56" s="209" t="s">
        <v>12</v>
      </c>
      <c r="E56" s="209" t="s">
        <v>798</v>
      </c>
      <c r="F56" s="211" t="s">
        <v>107</v>
      </c>
      <c r="G56" s="211">
        <v>10</v>
      </c>
    </row>
    <row r="57" spans="2:7" hidden="1" x14ac:dyDescent="0.25">
      <c r="B57" s="208" t="s">
        <v>801</v>
      </c>
      <c r="C57" s="209" t="s">
        <v>83</v>
      </c>
      <c r="D57" s="209" t="s">
        <v>12</v>
      </c>
      <c r="E57" s="209" t="s">
        <v>797</v>
      </c>
      <c r="F57" s="212" t="s">
        <v>183</v>
      </c>
      <c r="G57" s="212">
        <v>9</v>
      </c>
    </row>
    <row r="58" spans="2:7" hidden="1" x14ac:dyDescent="0.25">
      <c r="B58" s="208" t="s">
        <v>801</v>
      </c>
      <c r="C58" s="209" t="s">
        <v>83</v>
      </c>
      <c r="D58" s="209" t="s">
        <v>12</v>
      </c>
      <c r="E58" s="209" t="s">
        <v>797</v>
      </c>
      <c r="F58" s="212" t="s">
        <v>184</v>
      </c>
      <c r="G58" s="212">
        <v>10</v>
      </c>
    </row>
    <row r="59" spans="2:7" hidden="1" x14ac:dyDescent="0.25">
      <c r="B59" s="208" t="s">
        <v>801</v>
      </c>
      <c r="C59" s="209" t="s">
        <v>83</v>
      </c>
      <c r="D59" s="209" t="s">
        <v>12</v>
      </c>
      <c r="E59" s="209" t="s">
        <v>788</v>
      </c>
      <c r="F59" s="212" t="s">
        <v>219</v>
      </c>
      <c r="G59" s="212">
        <v>7</v>
      </c>
    </row>
    <row r="60" spans="2:7" hidden="1" x14ac:dyDescent="0.25">
      <c r="B60" s="208" t="s">
        <v>801</v>
      </c>
      <c r="C60" s="209" t="s">
        <v>83</v>
      </c>
      <c r="D60" s="209" t="s">
        <v>12</v>
      </c>
      <c r="E60" s="209" t="s">
        <v>788</v>
      </c>
      <c r="F60" s="212" t="s">
        <v>220</v>
      </c>
      <c r="G60" s="212">
        <v>9</v>
      </c>
    </row>
    <row r="61" spans="2:7" hidden="1" x14ac:dyDescent="0.25">
      <c r="B61" s="208" t="s">
        <v>801</v>
      </c>
      <c r="C61" s="209" t="s">
        <v>83</v>
      </c>
      <c r="D61" s="209" t="s">
        <v>12</v>
      </c>
      <c r="E61" s="209" t="s">
        <v>787</v>
      </c>
      <c r="F61" s="212" t="s">
        <v>773</v>
      </c>
      <c r="G61" s="212">
        <v>0</v>
      </c>
    </row>
    <row r="62" spans="2:7" hidden="1" x14ac:dyDescent="0.25">
      <c r="B62" s="208" t="s">
        <v>801</v>
      </c>
      <c r="C62" s="209" t="s">
        <v>83</v>
      </c>
      <c r="D62" s="209" t="s">
        <v>12</v>
      </c>
      <c r="E62" s="209" t="s">
        <v>787</v>
      </c>
      <c r="F62" s="212" t="s">
        <v>774</v>
      </c>
      <c r="G62" s="212">
        <v>0</v>
      </c>
    </row>
    <row r="63" spans="2:7" hidden="1" x14ac:dyDescent="0.25">
      <c r="B63" s="208" t="s">
        <v>801</v>
      </c>
      <c r="C63" s="209" t="s">
        <v>83</v>
      </c>
      <c r="D63" s="209" t="s">
        <v>12</v>
      </c>
      <c r="E63" s="209" t="s">
        <v>786</v>
      </c>
      <c r="F63" s="212" t="s">
        <v>781</v>
      </c>
      <c r="G63" s="212">
        <v>7</v>
      </c>
    </row>
    <row r="64" spans="2:7" hidden="1" x14ac:dyDescent="0.25">
      <c r="B64" s="208" t="s">
        <v>801</v>
      </c>
      <c r="C64" s="209" t="s">
        <v>83</v>
      </c>
      <c r="D64" s="209" t="s">
        <v>12</v>
      </c>
      <c r="E64" s="209" t="s">
        <v>786</v>
      </c>
      <c r="F64" s="212" t="s">
        <v>782</v>
      </c>
      <c r="G64" s="212">
        <v>7</v>
      </c>
    </row>
    <row r="65" spans="2:7" hidden="1" x14ac:dyDescent="0.25">
      <c r="B65" s="208" t="s">
        <v>801</v>
      </c>
      <c r="C65" s="209" t="s">
        <v>83</v>
      </c>
      <c r="D65" s="209" t="s">
        <v>34</v>
      </c>
      <c r="E65" s="210" t="s">
        <v>799</v>
      </c>
      <c r="F65" s="211" t="s">
        <v>108</v>
      </c>
      <c r="G65" s="211">
        <v>10</v>
      </c>
    </row>
    <row r="66" spans="2:7" hidden="1" x14ac:dyDescent="0.25">
      <c r="B66" s="208" t="s">
        <v>801</v>
      </c>
      <c r="C66" s="209" t="s">
        <v>83</v>
      </c>
      <c r="D66" s="209" t="s">
        <v>34</v>
      </c>
      <c r="E66" s="210" t="s">
        <v>799</v>
      </c>
      <c r="F66" s="211" t="s">
        <v>110</v>
      </c>
      <c r="G66" s="211">
        <v>10</v>
      </c>
    </row>
    <row r="67" spans="2:7" hidden="1" x14ac:dyDescent="0.25">
      <c r="B67" s="208" t="s">
        <v>801</v>
      </c>
      <c r="C67" s="209" t="s">
        <v>83</v>
      </c>
      <c r="D67" s="209" t="s">
        <v>41</v>
      </c>
      <c r="E67" s="210" t="s">
        <v>799</v>
      </c>
      <c r="F67" s="211" t="s">
        <v>112</v>
      </c>
      <c r="G67" s="211">
        <v>5</v>
      </c>
    </row>
    <row r="68" spans="2:7" hidden="1" x14ac:dyDescent="0.25">
      <c r="B68" s="208" t="s">
        <v>801</v>
      </c>
      <c r="C68" s="209" t="s">
        <v>83</v>
      </c>
      <c r="D68" s="209" t="s">
        <v>46</v>
      </c>
      <c r="E68" s="210" t="s">
        <v>799</v>
      </c>
      <c r="F68" s="211" t="s">
        <v>113</v>
      </c>
      <c r="G68" s="211">
        <v>4</v>
      </c>
    </row>
    <row r="69" spans="2:7" hidden="1" x14ac:dyDescent="0.25">
      <c r="B69" s="208" t="s">
        <v>801</v>
      </c>
      <c r="C69" s="209" t="s">
        <v>114</v>
      </c>
      <c r="D69" s="209" t="s">
        <v>12</v>
      </c>
      <c r="E69" s="210" t="s">
        <v>799</v>
      </c>
      <c r="F69" s="211" t="s">
        <v>115</v>
      </c>
      <c r="G69" s="211">
        <v>10</v>
      </c>
    </row>
    <row r="70" spans="2:7" hidden="1" x14ac:dyDescent="0.25">
      <c r="B70" s="208" t="s">
        <v>801</v>
      </c>
      <c r="C70" s="209" t="s">
        <v>114</v>
      </c>
      <c r="D70" s="209" t="s">
        <v>12</v>
      </c>
      <c r="E70" s="210" t="s">
        <v>799</v>
      </c>
      <c r="F70" s="211" t="s">
        <v>118</v>
      </c>
      <c r="G70" s="211">
        <v>10</v>
      </c>
    </row>
    <row r="71" spans="2:7" hidden="1" x14ac:dyDescent="0.25">
      <c r="B71" s="208" t="s">
        <v>801</v>
      </c>
      <c r="C71" s="209" t="s">
        <v>114</v>
      </c>
      <c r="D71" s="209" t="s">
        <v>12</v>
      </c>
      <c r="E71" s="210" t="s">
        <v>799</v>
      </c>
      <c r="F71" s="211" t="s">
        <v>206</v>
      </c>
      <c r="G71" s="211">
        <v>10</v>
      </c>
    </row>
    <row r="72" spans="2:7" hidden="1" x14ac:dyDescent="0.25">
      <c r="B72" s="208" t="s">
        <v>801</v>
      </c>
      <c r="C72" s="209" t="s">
        <v>114</v>
      </c>
      <c r="D72" s="209" t="s">
        <v>12</v>
      </c>
      <c r="E72" s="210" t="s">
        <v>799</v>
      </c>
      <c r="F72" s="211" t="s">
        <v>121</v>
      </c>
      <c r="G72" s="211">
        <v>10</v>
      </c>
    </row>
    <row r="73" spans="2:7" hidden="1" x14ac:dyDescent="0.25">
      <c r="B73" s="208" t="s">
        <v>801</v>
      </c>
      <c r="C73" s="209" t="s">
        <v>114</v>
      </c>
      <c r="D73" s="209" t="s">
        <v>12</v>
      </c>
      <c r="E73" s="210" t="s">
        <v>799</v>
      </c>
      <c r="F73" s="211" t="s">
        <v>124</v>
      </c>
      <c r="G73" s="211">
        <v>10</v>
      </c>
    </row>
    <row r="74" spans="2:7" hidden="1" x14ac:dyDescent="0.25">
      <c r="B74" s="208" t="s">
        <v>801</v>
      </c>
      <c r="C74" s="209" t="s">
        <v>114</v>
      </c>
      <c r="D74" s="209" t="s">
        <v>12</v>
      </c>
      <c r="E74" s="210" t="s">
        <v>799</v>
      </c>
      <c r="F74" s="211" t="s">
        <v>127</v>
      </c>
      <c r="G74" s="211">
        <v>10</v>
      </c>
    </row>
    <row r="75" spans="2:7" hidden="1" x14ac:dyDescent="0.25">
      <c r="B75" s="208" t="s">
        <v>801</v>
      </c>
      <c r="C75" s="209" t="s">
        <v>114</v>
      </c>
      <c r="D75" s="209" t="s">
        <v>12</v>
      </c>
      <c r="E75" s="210" t="s">
        <v>799</v>
      </c>
      <c r="F75" s="211" t="s">
        <v>130</v>
      </c>
      <c r="G75" s="211">
        <v>10</v>
      </c>
    </row>
    <row r="76" spans="2:7" hidden="1" x14ac:dyDescent="0.25">
      <c r="B76" s="208" t="s">
        <v>801</v>
      </c>
      <c r="C76" s="209" t="s">
        <v>114</v>
      </c>
      <c r="D76" s="209" t="s">
        <v>12</v>
      </c>
      <c r="E76" s="209" t="s">
        <v>798</v>
      </c>
      <c r="F76" s="211" t="s">
        <v>133</v>
      </c>
      <c r="G76" s="211">
        <v>9</v>
      </c>
    </row>
    <row r="77" spans="2:7" hidden="1" x14ac:dyDescent="0.25">
      <c r="B77" s="208" t="s">
        <v>801</v>
      </c>
      <c r="C77" s="209" t="s">
        <v>114</v>
      </c>
      <c r="D77" s="209" t="s">
        <v>12</v>
      </c>
      <c r="E77" s="209" t="s">
        <v>797</v>
      </c>
      <c r="F77" s="212" t="s">
        <v>185</v>
      </c>
      <c r="G77" s="212">
        <v>10</v>
      </c>
    </row>
    <row r="78" spans="2:7" hidden="1" x14ac:dyDescent="0.25">
      <c r="B78" s="208" t="s">
        <v>801</v>
      </c>
      <c r="C78" s="209" t="s">
        <v>114</v>
      </c>
      <c r="D78" s="209" t="s">
        <v>12</v>
      </c>
      <c r="E78" s="209" t="s">
        <v>797</v>
      </c>
      <c r="F78" s="212" t="s">
        <v>186</v>
      </c>
      <c r="G78" s="212">
        <v>10</v>
      </c>
    </row>
    <row r="79" spans="2:7" hidden="1" x14ac:dyDescent="0.25">
      <c r="B79" s="208" t="s">
        <v>801</v>
      </c>
      <c r="C79" s="209" t="s">
        <v>114</v>
      </c>
      <c r="D79" s="209" t="s">
        <v>12</v>
      </c>
      <c r="E79" s="209" t="s">
        <v>788</v>
      </c>
      <c r="F79" s="212" t="s">
        <v>221</v>
      </c>
      <c r="G79" s="212">
        <v>9</v>
      </c>
    </row>
    <row r="80" spans="2:7" hidden="1" x14ac:dyDescent="0.25">
      <c r="B80" s="208" t="s">
        <v>801</v>
      </c>
      <c r="C80" s="209" t="s">
        <v>114</v>
      </c>
      <c r="D80" s="209" t="s">
        <v>12</v>
      </c>
      <c r="E80" s="209" t="s">
        <v>788</v>
      </c>
      <c r="F80" s="212" t="s">
        <v>222</v>
      </c>
      <c r="G80" s="212">
        <v>8</v>
      </c>
    </row>
    <row r="81" spans="2:7" hidden="1" x14ac:dyDescent="0.25">
      <c r="B81" s="208" t="s">
        <v>801</v>
      </c>
      <c r="C81" s="209" t="s">
        <v>114</v>
      </c>
      <c r="D81" s="209" t="s">
        <v>12</v>
      </c>
      <c r="E81" s="209" t="s">
        <v>787</v>
      </c>
      <c r="F81" s="212" t="s">
        <v>775</v>
      </c>
      <c r="G81" s="212">
        <v>0</v>
      </c>
    </row>
    <row r="82" spans="2:7" hidden="1" x14ac:dyDescent="0.25">
      <c r="B82" s="208" t="s">
        <v>801</v>
      </c>
      <c r="C82" s="209" t="s">
        <v>114</v>
      </c>
      <c r="D82" s="209" t="s">
        <v>12</v>
      </c>
      <c r="E82" s="209" t="s">
        <v>787</v>
      </c>
      <c r="F82" s="212" t="s">
        <v>776</v>
      </c>
      <c r="G82" s="212">
        <v>0</v>
      </c>
    </row>
    <row r="83" spans="2:7" hidden="1" x14ac:dyDescent="0.25">
      <c r="B83" s="208" t="s">
        <v>801</v>
      </c>
      <c r="C83" s="209" t="s">
        <v>114</v>
      </c>
      <c r="D83" s="209" t="s">
        <v>12</v>
      </c>
      <c r="E83" s="209" t="s">
        <v>786</v>
      </c>
      <c r="F83" s="212" t="s">
        <v>783</v>
      </c>
      <c r="G83" s="212">
        <v>6</v>
      </c>
    </row>
    <row r="84" spans="2:7" hidden="1" x14ac:dyDescent="0.25">
      <c r="B84" s="208" t="s">
        <v>801</v>
      </c>
      <c r="C84" s="209" t="s">
        <v>114</v>
      </c>
      <c r="D84" s="209" t="s">
        <v>12</v>
      </c>
      <c r="E84" s="209" t="s">
        <v>786</v>
      </c>
      <c r="F84" s="212" t="s">
        <v>784</v>
      </c>
      <c r="G84" s="212">
        <v>7</v>
      </c>
    </row>
    <row r="85" spans="2:7" hidden="1" x14ac:dyDescent="0.25">
      <c r="B85" s="208" t="s">
        <v>801</v>
      </c>
      <c r="C85" s="209" t="s">
        <v>114</v>
      </c>
      <c r="D85" s="209" t="s">
        <v>34</v>
      </c>
      <c r="E85" s="210" t="s">
        <v>799</v>
      </c>
      <c r="F85" s="211" t="s">
        <v>134</v>
      </c>
      <c r="G85" s="211">
        <v>10</v>
      </c>
    </row>
    <row r="86" spans="2:7" hidden="1" x14ac:dyDescent="0.25">
      <c r="B86" s="208" t="s">
        <v>801</v>
      </c>
      <c r="C86" s="209" t="s">
        <v>114</v>
      </c>
      <c r="D86" s="209" t="s">
        <v>34</v>
      </c>
      <c r="E86" s="210" t="s">
        <v>799</v>
      </c>
      <c r="F86" s="211" t="s">
        <v>137</v>
      </c>
      <c r="G86" s="211">
        <v>10</v>
      </c>
    </row>
    <row r="87" spans="2:7" hidden="1" x14ac:dyDescent="0.25">
      <c r="B87" s="208" t="s">
        <v>801</v>
      </c>
      <c r="C87" s="209" t="s">
        <v>114</v>
      </c>
      <c r="D87" s="209" t="s">
        <v>41</v>
      </c>
      <c r="E87" s="210" t="s">
        <v>799</v>
      </c>
      <c r="F87" s="211" t="s">
        <v>140</v>
      </c>
      <c r="G87" s="211">
        <v>5</v>
      </c>
    </row>
    <row r="88" spans="2:7" hidden="1" x14ac:dyDescent="0.25">
      <c r="B88" s="208" t="s">
        <v>801</v>
      </c>
      <c r="C88" s="209" t="s">
        <v>114</v>
      </c>
      <c r="D88" s="209" t="s">
        <v>41</v>
      </c>
      <c r="E88" s="210" t="s">
        <v>799</v>
      </c>
      <c r="F88" s="211" t="s">
        <v>141</v>
      </c>
      <c r="G88" s="211">
        <v>5</v>
      </c>
    </row>
    <row r="89" spans="2:7" hidden="1" x14ac:dyDescent="0.25">
      <c r="B89" s="208" t="s">
        <v>801</v>
      </c>
      <c r="C89" s="209" t="s">
        <v>114</v>
      </c>
      <c r="D89" s="209" t="s">
        <v>46</v>
      </c>
      <c r="E89" s="210" t="s">
        <v>799</v>
      </c>
      <c r="F89" s="211" t="s">
        <v>142</v>
      </c>
      <c r="G89" s="211">
        <v>4</v>
      </c>
    </row>
    <row r="90" spans="2:7" hidden="1" x14ac:dyDescent="0.25">
      <c r="B90" s="214" t="s">
        <v>806</v>
      </c>
      <c r="C90" s="215" t="s">
        <v>11</v>
      </c>
      <c r="D90" s="215" t="s">
        <v>12</v>
      </c>
      <c r="E90" s="216" t="s">
        <v>799</v>
      </c>
      <c r="F90" s="217" t="s">
        <v>13</v>
      </c>
      <c r="G90" s="217">
        <v>10</v>
      </c>
    </row>
    <row r="91" spans="2:7" hidden="1" x14ac:dyDescent="0.25">
      <c r="B91" s="214" t="s">
        <v>806</v>
      </c>
      <c r="C91" s="218" t="s">
        <v>11</v>
      </c>
      <c r="D91" s="218" t="s">
        <v>12</v>
      </c>
      <c r="E91" s="219" t="s">
        <v>799</v>
      </c>
      <c r="F91" s="220" t="s">
        <v>17</v>
      </c>
      <c r="G91" s="217">
        <v>10</v>
      </c>
    </row>
    <row r="92" spans="2:7" hidden="1" x14ac:dyDescent="0.25">
      <c r="B92" s="214" t="s">
        <v>806</v>
      </c>
      <c r="C92" s="218" t="s">
        <v>11</v>
      </c>
      <c r="D92" s="218" t="s">
        <v>12</v>
      </c>
      <c r="E92" s="219" t="s">
        <v>799</v>
      </c>
      <c r="F92" s="220" t="s">
        <v>210</v>
      </c>
      <c r="G92" s="217">
        <v>8</v>
      </c>
    </row>
    <row r="93" spans="2:7" hidden="1" x14ac:dyDescent="0.25">
      <c r="B93" s="214" t="s">
        <v>806</v>
      </c>
      <c r="C93" s="218" t="s">
        <v>11</v>
      </c>
      <c r="D93" s="218" t="s">
        <v>12</v>
      </c>
      <c r="E93" s="219" t="s">
        <v>799</v>
      </c>
      <c r="F93" s="220" t="s">
        <v>24</v>
      </c>
      <c r="G93" s="217">
        <v>7</v>
      </c>
    </row>
    <row r="94" spans="2:7" hidden="1" x14ac:dyDescent="0.25">
      <c r="B94" s="214" t="s">
        <v>806</v>
      </c>
      <c r="C94" s="218" t="s">
        <v>11</v>
      </c>
      <c r="D94" s="218" t="s">
        <v>12</v>
      </c>
      <c r="E94" s="219" t="s">
        <v>799</v>
      </c>
      <c r="F94" s="220" t="s">
        <v>27</v>
      </c>
      <c r="G94" s="217">
        <v>8</v>
      </c>
    </row>
    <row r="95" spans="2:7" hidden="1" x14ac:dyDescent="0.25">
      <c r="B95" s="214" t="s">
        <v>806</v>
      </c>
      <c r="C95" s="218" t="s">
        <v>11</v>
      </c>
      <c r="D95" s="218" t="s">
        <v>12</v>
      </c>
      <c r="E95" s="219" t="s">
        <v>799</v>
      </c>
      <c r="F95" s="220" t="s">
        <v>211</v>
      </c>
      <c r="G95" s="217">
        <v>10</v>
      </c>
    </row>
    <row r="96" spans="2:7" hidden="1" x14ac:dyDescent="0.25">
      <c r="B96" s="214" t="s">
        <v>806</v>
      </c>
      <c r="C96" s="218" t="s">
        <v>11</v>
      </c>
      <c r="D96" s="218" t="s">
        <v>12</v>
      </c>
      <c r="E96" s="219" t="s">
        <v>799</v>
      </c>
      <c r="F96" s="220" t="s">
        <v>187</v>
      </c>
      <c r="G96" s="217">
        <v>7</v>
      </c>
    </row>
    <row r="97" spans="2:7" hidden="1" x14ac:dyDescent="0.25">
      <c r="B97" s="214" t="s">
        <v>806</v>
      </c>
      <c r="C97" s="218" t="s">
        <v>11</v>
      </c>
      <c r="D97" s="218" t="s">
        <v>12</v>
      </c>
      <c r="E97" s="218" t="s">
        <v>798</v>
      </c>
      <c r="F97" s="220" t="s">
        <v>33</v>
      </c>
      <c r="G97" s="217">
        <v>9</v>
      </c>
    </row>
    <row r="98" spans="2:7" hidden="1" x14ac:dyDescent="0.25">
      <c r="B98" s="214" t="s">
        <v>806</v>
      </c>
      <c r="C98" s="218" t="s">
        <v>11</v>
      </c>
      <c r="D98" s="218" t="s">
        <v>12</v>
      </c>
      <c r="E98" s="218" t="s">
        <v>797</v>
      </c>
      <c r="F98" s="220" t="s">
        <v>179</v>
      </c>
      <c r="G98" s="220">
        <v>5</v>
      </c>
    </row>
    <row r="99" spans="2:7" hidden="1" x14ac:dyDescent="0.25">
      <c r="B99" s="214" t="s">
        <v>806</v>
      </c>
      <c r="C99" s="218" t="s">
        <v>11</v>
      </c>
      <c r="D99" s="218" t="s">
        <v>12</v>
      </c>
      <c r="E99" s="218" t="s">
        <v>797</v>
      </c>
      <c r="F99" s="220" t="s">
        <v>180</v>
      </c>
      <c r="G99" s="220">
        <v>6</v>
      </c>
    </row>
    <row r="100" spans="2:7" hidden="1" x14ac:dyDescent="0.25">
      <c r="B100" s="214" t="s">
        <v>806</v>
      </c>
      <c r="C100" s="218" t="s">
        <v>11</v>
      </c>
      <c r="D100" s="218" t="s">
        <v>12</v>
      </c>
      <c r="E100" s="218" t="s">
        <v>788</v>
      </c>
      <c r="F100" s="220" t="s">
        <v>215</v>
      </c>
      <c r="G100" s="217">
        <v>9</v>
      </c>
    </row>
    <row r="101" spans="2:7" hidden="1" x14ac:dyDescent="0.25">
      <c r="B101" s="214" t="s">
        <v>806</v>
      </c>
      <c r="C101" s="218" t="s">
        <v>11</v>
      </c>
      <c r="D101" s="218" t="s">
        <v>12</v>
      </c>
      <c r="E101" s="218" t="s">
        <v>788</v>
      </c>
      <c r="F101" s="220" t="s">
        <v>216</v>
      </c>
      <c r="G101" s="217">
        <v>0</v>
      </c>
    </row>
    <row r="102" spans="2:7" hidden="1" x14ac:dyDescent="0.25">
      <c r="B102" s="214" t="s">
        <v>806</v>
      </c>
      <c r="C102" s="218" t="s">
        <v>11</v>
      </c>
      <c r="D102" s="218" t="s">
        <v>12</v>
      </c>
      <c r="E102" s="218" t="s">
        <v>787</v>
      </c>
      <c r="F102" s="220" t="s">
        <v>770</v>
      </c>
      <c r="G102" s="217">
        <v>0</v>
      </c>
    </row>
    <row r="103" spans="2:7" hidden="1" x14ac:dyDescent="0.25">
      <c r="B103" s="214" t="s">
        <v>806</v>
      </c>
      <c r="C103" s="218" t="s">
        <v>11</v>
      </c>
      <c r="D103" s="218" t="s">
        <v>12</v>
      </c>
      <c r="E103" s="218" t="s">
        <v>787</v>
      </c>
      <c r="F103" s="220" t="s">
        <v>223</v>
      </c>
      <c r="G103" s="217">
        <v>0</v>
      </c>
    </row>
    <row r="104" spans="2:7" hidden="1" x14ac:dyDescent="0.25">
      <c r="B104" s="214" t="s">
        <v>806</v>
      </c>
      <c r="C104" s="218" t="s">
        <v>11</v>
      </c>
      <c r="D104" s="218" t="s">
        <v>12</v>
      </c>
      <c r="E104" s="218" t="s">
        <v>786</v>
      </c>
      <c r="F104" s="220" t="s">
        <v>777</v>
      </c>
      <c r="G104" s="217">
        <v>0</v>
      </c>
    </row>
    <row r="105" spans="2:7" hidden="1" x14ac:dyDescent="0.25">
      <c r="B105" s="214" t="s">
        <v>806</v>
      </c>
      <c r="C105" s="218" t="s">
        <v>11</v>
      </c>
      <c r="D105" s="218" t="s">
        <v>12</v>
      </c>
      <c r="E105" s="218" t="s">
        <v>786</v>
      </c>
      <c r="F105" s="220" t="s">
        <v>778</v>
      </c>
      <c r="G105" s="217">
        <v>0</v>
      </c>
    </row>
    <row r="106" spans="2:7" hidden="1" x14ac:dyDescent="0.25">
      <c r="B106" s="214" t="s">
        <v>806</v>
      </c>
      <c r="C106" s="218" t="s">
        <v>11</v>
      </c>
      <c r="D106" s="218" t="s">
        <v>34</v>
      </c>
      <c r="E106" s="219" t="s">
        <v>799</v>
      </c>
      <c r="F106" s="217" t="s">
        <v>35</v>
      </c>
      <c r="G106" s="217">
        <v>10</v>
      </c>
    </row>
    <row r="107" spans="2:7" hidden="1" x14ac:dyDescent="0.25">
      <c r="B107" s="214" t="s">
        <v>806</v>
      </c>
      <c r="C107" s="218" t="s">
        <v>11</v>
      </c>
      <c r="D107" s="218" t="s">
        <v>34</v>
      </c>
      <c r="E107" s="219" t="s">
        <v>799</v>
      </c>
      <c r="F107" s="220" t="s">
        <v>38</v>
      </c>
      <c r="G107" s="220">
        <v>10</v>
      </c>
    </row>
    <row r="108" spans="2:7" hidden="1" x14ac:dyDescent="0.25">
      <c r="B108" s="214" t="s">
        <v>806</v>
      </c>
      <c r="C108" s="218" t="s">
        <v>11</v>
      </c>
      <c r="D108" s="218" t="s">
        <v>41</v>
      </c>
      <c r="E108" s="219" t="s">
        <v>799</v>
      </c>
      <c r="F108" s="220" t="s">
        <v>42</v>
      </c>
      <c r="G108" s="220">
        <v>5</v>
      </c>
    </row>
    <row r="109" spans="2:7" hidden="1" x14ac:dyDescent="0.25">
      <c r="B109" s="214" t="s">
        <v>806</v>
      </c>
      <c r="C109" s="218" t="s">
        <v>11</v>
      </c>
      <c r="D109" s="218" t="s">
        <v>41</v>
      </c>
      <c r="E109" s="219" t="s">
        <v>799</v>
      </c>
      <c r="F109" s="220" t="s">
        <v>44</v>
      </c>
      <c r="G109" s="220">
        <v>5</v>
      </c>
    </row>
    <row r="110" spans="2:7" hidden="1" x14ac:dyDescent="0.25">
      <c r="B110" s="214" t="s">
        <v>806</v>
      </c>
      <c r="C110" s="218" t="s">
        <v>11</v>
      </c>
      <c r="D110" s="218" t="s">
        <v>41</v>
      </c>
      <c r="E110" s="219" t="s">
        <v>799</v>
      </c>
      <c r="F110" s="220" t="s">
        <v>45</v>
      </c>
      <c r="G110" s="220">
        <v>5</v>
      </c>
    </row>
    <row r="111" spans="2:7" hidden="1" x14ac:dyDescent="0.25">
      <c r="B111" s="214" t="s">
        <v>806</v>
      </c>
      <c r="C111" s="218" t="s">
        <v>11</v>
      </c>
      <c r="D111" s="218" t="s">
        <v>46</v>
      </c>
      <c r="E111" s="219" t="s">
        <v>799</v>
      </c>
      <c r="F111" s="220" t="s">
        <v>47</v>
      </c>
      <c r="G111" s="220">
        <v>4</v>
      </c>
    </row>
    <row r="112" spans="2:7" hidden="1" x14ac:dyDescent="0.25">
      <c r="B112" s="214" t="s">
        <v>806</v>
      </c>
      <c r="C112" s="218" t="s">
        <v>48</v>
      </c>
      <c r="D112" s="218" t="s">
        <v>12</v>
      </c>
      <c r="E112" s="219" t="s">
        <v>799</v>
      </c>
      <c r="F112" s="220" t="s">
        <v>49</v>
      </c>
      <c r="G112" s="220">
        <v>10</v>
      </c>
    </row>
    <row r="113" spans="2:7" hidden="1" x14ac:dyDescent="0.25">
      <c r="B113" s="214" t="s">
        <v>806</v>
      </c>
      <c r="C113" s="218" t="s">
        <v>48</v>
      </c>
      <c r="D113" s="218" t="s">
        <v>12</v>
      </c>
      <c r="E113" s="219" t="s">
        <v>799</v>
      </c>
      <c r="F113" s="217" t="s">
        <v>52</v>
      </c>
      <c r="G113" s="217">
        <v>9</v>
      </c>
    </row>
    <row r="114" spans="2:7" hidden="1" x14ac:dyDescent="0.25">
      <c r="B114" s="214" t="s">
        <v>806</v>
      </c>
      <c r="C114" s="218" t="s">
        <v>48</v>
      </c>
      <c r="D114" s="218" t="s">
        <v>12</v>
      </c>
      <c r="E114" s="219" t="s">
        <v>799</v>
      </c>
      <c r="F114" s="217" t="s">
        <v>55</v>
      </c>
      <c r="G114" s="217">
        <v>10</v>
      </c>
    </row>
    <row r="115" spans="2:7" hidden="1" x14ac:dyDescent="0.25">
      <c r="B115" s="214" t="s">
        <v>806</v>
      </c>
      <c r="C115" s="218" t="s">
        <v>48</v>
      </c>
      <c r="D115" s="218" t="s">
        <v>12</v>
      </c>
      <c r="E115" s="219" t="s">
        <v>799</v>
      </c>
      <c r="F115" s="217" t="s">
        <v>58</v>
      </c>
      <c r="G115" s="217">
        <v>6</v>
      </c>
    </row>
    <row r="116" spans="2:7" hidden="1" x14ac:dyDescent="0.25">
      <c r="B116" s="214" t="s">
        <v>806</v>
      </c>
      <c r="C116" s="218" t="s">
        <v>48</v>
      </c>
      <c r="D116" s="218" t="s">
        <v>12</v>
      </c>
      <c r="E116" s="219" t="s">
        <v>799</v>
      </c>
      <c r="F116" s="217" t="s">
        <v>61</v>
      </c>
      <c r="G116" s="217">
        <v>10</v>
      </c>
    </row>
    <row r="117" spans="2:7" hidden="1" x14ac:dyDescent="0.25">
      <c r="B117" s="214" t="s">
        <v>806</v>
      </c>
      <c r="C117" s="218" t="s">
        <v>48</v>
      </c>
      <c r="D117" s="218" t="s">
        <v>12</v>
      </c>
      <c r="E117" s="219" t="s">
        <v>799</v>
      </c>
      <c r="F117" s="217" t="s">
        <v>64</v>
      </c>
      <c r="G117" s="217">
        <v>9</v>
      </c>
    </row>
    <row r="118" spans="2:7" hidden="1" x14ac:dyDescent="0.25">
      <c r="B118" s="214" t="s">
        <v>806</v>
      </c>
      <c r="C118" s="218" t="s">
        <v>48</v>
      </c>
      <c r="D118" s="218" t="s">
        <v>12</v>
      </c>
      <c r="E118" s="219" t="s">
        <v>799</v>
      </c>
      <c r="F118" s="217" t="s">
        <v>67</v>
      </c>
      <c r="G118" s="217">
        <v>7</v>
      </c>
    </row>
    <row r="119" spans="2:7" hidden="1" x14ac:dyDescent="0.25">
      <c r="B119" s="214" t="s">
        <v>806</v>
      </c>
      <c r="C119" s="218" t="s">
        <v>48</v>
      </c>
      <c r="D119" s="218" t="s">
        <v>12</v>
      </c>
      <c r="E119" s="219" t="s">
        <v>799</v>
      </c>
      <c r="F119" s="217" t="s">
        <v>213</v>
      </c>
      <c r="G119" s="217">
        <v>9</v>
      </c>
    </row>
    <row r="120" spans="2:7" hidden="1" x14ac:dyDescent="0.25">
      <c r="B120" s="214" t="s">
        <v>806</v>
      </c>
      <c r="C120" s="218" t="s">
        <v>48</v>
      </c>
      <c r="D120" s="218" t="s">
        <v>12</v>
      </c>
      <c r="E120" s="218" t="s">
        <v>798</v>
      </c>
      <c r="F120" s="217" t="s">
        <v>72</v>
      </c>
      <c r="G120" s="217">
        <v>6</v>
      </c>
    </row>
    <row r="121" spans="2:7" hidden="1" x14ac:dyDescent="0.25">
      <c r="B121" s="214" t="s">
        <v>806</v>
      </c>
      <c r="C121" s="218" t="s">
        <v>48</v>
      </c>
      <c r="D121" s="218" t="s">
        <v>12</v>
      </c>
      <c r="E121" s="218" t="s">
        <v>798</v>
      </c>
      <c r="F121" s="217" t="s">
        <v>73</v>
      </c>
      <c r="G121" s="217">
        <v>9</v>
      </c>
    </row>
    <row r="122" spans="2:7" hidden="1" x14ac:dyDescent="0.25">
      <c r="B122" s="214" t="s">
        <v>806</v>
      </c>
      <c r="C122" s="218" t="s">
        <v>48</v>
      </c>
      <c r="D122" s="218" t="s">
        <v>12</v>
      </c>
      <c r="E122" s="218" t="s">
        <v>797</v>
      </c>
      <c r="F122" s="220" t="s">
        <v>181</v>
      </c>
      <c r="G122" s="220">
        <v>6</v>
      </c>
    </row>
    <row r="123" spans="2:7" hidden="1" x14ac:dyDescent="0.25">
      <c r="B123" s="214" t="s">
        <v>806</v>
      </c>
      <c r="C123" s="218" t="s">
        <v>48</v>
      </c>
      <c r="D123" s="218" t="s">
        <v>12</v>
      </c>
      <c r="E123" s="218" t="s">
        <v>797</v>
      </c>
      <c r="F123" s="220" t="s">
        <v>182</v>
      </c>
      <c r="G123" s="220">
        <v>8</v>
      </c>
    </row>
    <row r="124" spans="2:7" hidden="1" x14ac:dyDescent="0.25">
      <c r="B124" s="214" t="s">
        <v>806</v>
      </c>
      <c r="C124" s="218" t="s">
        <v>48</v>
      </c>
      <c r="D124" s="218" t="s">
        <v>12</v>
      </c>
      <c r="E124" s="218" t="s">
        <v>788</v>
      </c>
      <c r="F124" s="220" t="s">
        <v>217</v>
      </c>
      <c r="G124" s="220">
        <v>0</v>
      </c>
    </row>
    <row r="125" spans="2:7" hidden="1" x14ac:dyDescent="0.25">
      <c r="B125" s="214" t="s">
        <v>806</v>
      </c>
      <c r="C125" s="218" t="s">
        <v>48</v>
      </c>
      <c r="D125" s="218" t="s">
        <v>12</v>
      </c>
      <c r="E125" s="218" t="s">
        <v>788</v>
      </c>
      <c r="F125" s="220" t="s">
        <v>218</v>
      </c>
      <c r="G125" s="220">
        <v>0</v>
      </c>
    </row>
    <row r="126" spans="2:7" hidden="1" x14ac:dyDescent="0.25">
      <c r="B126" s="214" t="s">
        <v>806</v>
      </c>
      <c r="C126" s="218" t="s">
        <v>48</v>
      </c>
      <c r="D126" s="218" t="s">
        <v>12</v>
      </c>
      <c r="E126" s="218" t="s">
        <v>787</v>
      </c>
      <c r="F126" s="220" t="s">
        <v>771</v>
      </c>
      <c r="G126" s="217">
        <v>0</v>
      </c>
    </row>
    <row r="127" spans="2:7" hidden="1" x14ac:dyDescent="0.25">
      <c r="B127" s="214" t="s">
        <v>806</v>
      </c>
      <c r="C127" s="218" t="s">
        <v>48</v>
      </c>
      <c r="D127" s="218" t="s">
        <v>12</v>
      </c>
      <c r="E127" s="218" t="s">
        <v>787</v>
      </c>
      <c r="F127" s="220" t="s">
        <v>772</v>
      </c>
      <c r="G127" s="217">
        <v>0</v>
      </c>
    </row>
    <row r="128" spans="2:7" hidden="1" x14ac:dyDescent="0.25">
      <c r="B128" s="214" t="s">
        <v>806</v>
      </c>
      <c r="C128" s="218" t="s">
        <v>48</v>
      </c>
      <c r="D128" s="218" t="s">
        <v>12</v>
      </c>
      <c r="E128" s="218" t="s">
        <v>786</v>
      </c>
      <c r="F128" s="220" t="s">
        <v>779</v>
      </c>
      <c r="G128" s="217">
        <v>0</v>
      </c>
    </row>
    <row r="129" spans="2:7" hidden="1" x14ac:dyDescent="0.25">
      <c r="B129" s="214" t="s">
        <v>806</v>
      </c>
      <c r="C129" s="218" t="s">
        <v>48</v>
      </c>
      <c r="D129" s="218" t="s">
        <v>12</v>
      </c>
      <c r="E129" s="218" t="s">
        <v>786</v>
      </c>
      <c r="F129" s="220" t="s">
        <v>780</v>
      </c>
      <c r="G129" s="217">
        <v>0</v>
      </c>
    </row>
    <row r="130" spans="2:7" hidden="1" x14ac:dyDescent="0.25">
      <c r="B130" s="214" t="s">
        <v>806</v>
      </c>
      <c r="C130" s="218" t="s">
        <v>48</v>
      </c>
      <c r="D130" s="218" t="s">
        <v>34</v>
      </c>
      <c r="E130" s="219" t="s">
        <v>799</v>
      </c>
      <c r="F130" s="217" t="s">
        <v>74</v>
      </c>
      <c r="G130" s="217">
        <v>10</v>
      </c>
    </row>
    <row r="131" spans="2:7" hidden="1" x14ac:dyDescent="0.25">
      <c r="B131" s="214" t="s">
        <v>806</v>
      </c>
      <c r="C131" s="218" t="s">
        <v>48</v>
      </c>
      <c r="D131" s="218" t="s">
        <v>34</v>
      </c>
      <c r="E131" s="219" t="s">
        <v>799</v>
      </c>
      <c r="F131" s="217" t="s">
        <v>77</v>
      </c>
      <c r="G131" s="217">
        <v>10</v>
      </c>
    </row>
    <row r="132" spans="2:7" hidden="1" x14ac:dyDescent="0.25">
      <c r="B132" s="214" t="s">
        <v>806</v>
      </c>
      <c r="C132" s="218" t="s">
        <v>48</v>
      </c>
      <c r="D132" s="218" t="s">
        <v>41</v>
      </c>
      <c r="E132" s="219" t="s">
        <v>799</v>
      </c>
      <c r="F132" s="217" t="s">
        <v>80</v>
      </c>
      <c r="G132" s="217">
        <v>5</v>
      </c>
    </row>
    <row r="133" spans="2:7" hidden="1" x14ac:dyDescent="0.25">
      <c r="B133" s="214" t="s">
        <v>806</v>
      </c>
      <c r="C133" s="218" t="s">
        <v>48</v>
      </c>
      <c r="D133" s="218" t="s">
        <v>41</v>
      </c>
      <c r="E133" s="219" t="s">
        <v>799</v>
      </c>
      <c r="F133" s="217" t="s">
        <v>81</v>
      </c>
      <c r="G133" s="217">
        <v>5</v>
      </c>
    </row>
    <row r="134" spans="2:7" hidden="1" x14ac:dyDescent="0.25">
      <c r="B134" s="214" t="s">
        <v>806</v>
      </c>
      <c r="C134" s="218" t="s">
        <v>48</v>
      </c>
      <c r="D134" s="218" t="s">
        <v>46</v>
      </c>
      <c r="E134" s="219" t="s">
        <v>799</v>
      </c>
      <c r="F134" s="217" t="s">
        <v>82</v>
      </c>
      <c r="G134" s="217">
        <v>4</v>
      </c>
    </row>
    <row r="135" spans="2:7" hidden="1" x14ac:dyDescent="0.25">
      <c r="B135" s="214" t="s">
        <v>806</v>
      </c>
      <c r="C135" s="218" t="s">
        <v>83</v>
      </c>
      <c r="D135" s="218" t="s">
        <v>12</v>
      </c>
      <c r="E135" s="219" t="s">
        <v>799</v>
      </c>
      <c r="F135" s="217" t="s">
        <v>84</v>
      </c>
      <c r="G135" s="217">
        <v>10</v>
      </c>
    </row>
    <row r="136" spans="2:7" hidden="1" x14ac:dyDescent="0.25">
      <c r="B136" s="214" t="s">
        <v>806</v>
      </c>
      <c r="C136" s="218" t="s">
        <v>83</v>
      </c>
      <c r="D136" s="218" t="s">
        <v>12</v>
      </c>
      <c r="E136" s="219" t="s">
        <v>799</v>
      </c>
      <c r="F136" s="217" t="s">
        <v>86</v>
      </c>
      <c r="G136" s="217">
        <v>10</v>
      </c>
    </row>
    <row r="137" spans="2:7" hidden="1" x14ac:dyDescent="0.25">
      <c r="B137" s="214" t="s">
        <v>806</v>
      </c>
      <c r="C137" s="218" t="s">
        <v>83</v>
      </c>
      <c r="D137" s="218" t="s">
        <v>12</v>
      </c>
      <c r="E137" s="219" t="s">
        <v>799</v>
      </c>
      <c r="F137" s="217" t="s">
        <v>89</v>
      </c>
      <c r="G137" s="217">
        <v>10</v>
      </c>
    </row>
    <row r="138" spans="2:7" hidden="1" x14ac:dyDescent="0.25">
      <c r="B138" s="214" t="s">
        <v>806</v>
      </c>
      <c r="C138" s="218" t="s">
        <v>83</v>
      </c>
      <c r="D138" s="218" t="s">
        <v>12</v>
      </c>
      <c r="E138" s="219" t="s">
        <v>799</v>
      </c>
      <c r="F138" s="217" t="s">
        <v>214</v>
      </c>
      <c r="G138" s="217">
        <v>7</v>
      </c>
    </row>
    <row r="139" spans="2:7" hidden="1" x14ac:dyDescent="0.25">
      <c r="B139" s="214" t="s">
        <v>806</v>
      </c>
      <c r="C139" s="218" t="s">
        <v>83</v>
      </c>
      <c r="D139" s="218" t="s">
        <v>12</v>
      </c>
      <c r="E139" s="219" t="s">
        <v>799</v>
      </c>
      <c r="F139" s="217" t="s">
        <v>94</v>
      </c>
      <c r="G139" s="217">
        <v>9</v>
      </c>
    </row>
    <row r="140" spans="2:7" hidden="1" x14ac:dyDescent="0.25">
      <c r="B140" s="214" t="s">
        <v>806</v>
      </c>
      <c r="C140" s="218" t="s">
        <v>83</v>
      </c>
      <c r="D140" s="218" t="s">
        <v>12</v>
      </c>
      <c r="E140" s="219" t="s">
        <v>799</v>
      </c>
      <c r="F140" s="217" t="s">
        <v>97</v>
      </c>
      <c r="G140" s="217">
        <v>5</v>
      </c>
    </row>
    <row r="141" spans="2:7" hidden="1" x14ac:dyDescent="0.25">
      <c r="B141" s="214" t="s">
        <v>806</v>
      </c>
      <c r="C141" s="218" t="s">
        <v>83</v>
      </c>
      <c r="D141" s="218" t="s">
        <v>12</v>
      </c>
      <c r="E141" s="219" t="s">
        <v>799</v>
      </c>
      <c r="F141" s="217" t="s">
        <v>100</v>
      </c>
      <c r="G141" s="217">
        <v>8</v>
      </c>
    </row>
    <row r="142" spans="2:7" hidden="1" x14ac:dyDescent="0.25">
      <c r="B142" s="214" t="s">
        <v>806</v>
      </c>
      <c r="C142" s="218" t="s">
        <v>83</v>
      </c>
      <c r="D142" s="218" t="s">
        <v>12</v>
      </c>
      <c r="E142" s="219" t="s">
        <v>799</v>
      </c>
      <c r="F142" s="217" t="s">
        <v>212</v>
      </c>
      <c r="G142" s="217">
        <v>9</v>
      </c>
    </row>
    <row r="143" spans="2:7" hidden="1" x14ac:dyDescent="0.25">
      <c r="B143" s="214" t="s">
        <v>806</v>
      </c>
      <c r="C143" s="218" t="s">
        <v>83</v>
      </c>
      <c r="D143" s="218" t="s">
        <v>12</v>
      </c>
      <c r="E143" s="218" t="s">
        <v>798</v>
      </c>
      <c r="F143" s="217" t="s">
        <v>104</v>
      </c>
      <c r="G143" s="217">
        <v>8</v>
      </c>
    </row>
    <row r="144" spans="2:7" hidden="1" x14ac:dyDescent="0.25">
      <c r="B144" s="214" t="s">
        <v>806</v>
      </c>
      <c r="C144" s="218" t="s">
        <v>83</v>
      </c>
      <c r="D144" s="218" t="s">
        <v>12</v>
      </c>
      <c r="E144" s="218" t="s">
        <v>798</v>
      </c>
      <c r="F144" s="217" t="s">
        <v>107</v>
      </c>
      <c r="G144" s="217">
        <v>7</v>
      </c>
    </row>
    <row r="145" spans="2:7" hidden="1" x14ac:dyDescent="0.25">
      <c r="B145" s="214" t="s">
        <v>806</v>
      </c>
      <c r="C145" s="218" t="s">
        <v>83</v>
      </c>
      <c r="D145" s="218" t="s">
        <v>12</v>
      </c>
      <c r="E145" s="218" t="s">
        <v>797</v>
      </c>
      <c r="F145" s="220" t="s">
        <v>183</v>
      </c>
      <c r="G145" s="220">
        <v>8</v>
      </c>
    </row>
    <row r="146" spans="2:7" hidden="1" x14ac:dyDescent="0.25">
      <c r="B146" s="214" t="s">
        <v>806</v>
      </c>
      <c r="C146" s="218" t="s">
        <v>83</v>
      </c>
      <c r="D146" s="218" t="s">
        <v>12</v>
      </c>
      <c r="E146" s="218" t="s">
        <v>797</v>
      </c>
      <c r="F146" s="220" t="s">
        <v>184</v>
      </c>
      <c r="G146" s="220">
        <v>6</v>
      </c>
    </row>
    <row r="147" spans="2:7" hidden="1" x14ac:dyDescent="0.25">
      <c r="B147" s="214" t="s">
        <v>806</v>
      </c>
      <c r="C147" s="218" t="s">
        <v>83</v>
      </c>
      <c r="D147" s="218" t="s">
        <v>12</v>
      </c>
      <c r="E147" s="218" t="s">
        <v>788</v>
      </c>
      <c r="F147" s="220" t="s">
        <v>219</v>
      </c>
      <c r="G147" s="220">
        <v>5</v>
      </c>
    </row>
    <row r="148" spans="2:7" hidden="1" x14ac:dyDescent="0.25">
      <c r="B148" s="214" t="s">
        <v>806</v>
      </c>
      <c r="C148" s="218" t="s">
        <v>83</v>
      </c>
      <c r="D148" s="218" t="s">
        <v>12</v>
      </c>
      <c r="E148" s="218" t="s">
        <v>788</v>
      </c>
      <c r="F148" s="220" t="s">
        <v>220</v>
      </c>
      <c r="G148" s="220">
        <v>0</v>
      </c>
    </row>
    <row r="149" spans="2:7" hidden="1" x14ac:dyDescent="0.25">
      <c r="B149" s="214" t="s">
        <v>806</v>
      </c>
      <c r="C149" s="218" t="s">
        <v>83</v>
      </c>
      <c r="D149" s="218" t="s">
        <v>12</v>
      </c>
      <c r="E149" s="218" t="s">
        <v>787</v>
      </c>
      <c r="F149" s="220" t="s">
        <v>773</v>
      </c>
      <c r="G149" s="217">
        <v>0</v>
      </c>
    </row>
    <row r="150" spans="2:7" hidden="1" x14ac:dyDescent="0.25">
      <c r="B150" s="214" t="s">
        <v>806</v>
      </c>
      <c r="C150" s="218" t="s">
        <v>83</v>
      </c>
      <c r="D150" s="218" t="s">
        <v>12</v>
      </c>
      <c r="E150" s="218" t="s">
        <v>787</v>
      </c>
      <c r="F150" s="220" t="s">
        <v>774</v>
      </c>
      <c r="G150" s="217">
        <v>0</v>
      </c>
    </row>
    <row r="151" spans="2:7" hidden="1" x14ac:dyDescent="0.25">
      <c r="B151" s="214" t="s">
        <v>806</v>
      </c>
      <c r="C151" s="218" t="s">
        <v>83</v>
      </c>
      <c r="D151" s="218" t="s">
        <v>12</v>
      </c>
      <c r="E151" s="218" t="s">
        <v>786</v>
      </c>
      <c r="F151" s="220" t="s">
        <v>781</v>
      </c>
      <c r="G151" s="217">
        <v>0</v>
      </c>
    </row>
    <row r="152" spans="2:7" hidden="1" x14ac:dyDescent="0.25">
      <c r="B152" s="214" t="s">
        <v>806</v>
      </c>
      <c r="C152" s="218" t="s">
        <v>83</v>
      </c>
      <c r="D152" s="218" t="s">
        <v>12</v>
      </c>
      <c r="E152" s="218" t="s">
        <v>786</v>
      </c>
      <c r="F152" s="220" t="s">
        <v>782</v>
      </c>
      <c r="G152" s="217">
        <v>0</v>
      </c>
    </row>
    <row r="153" spans="2:7" hidden="1" x14ac:dyDescent="0.25">
      <c r="B153" s="214" t="s">
        <v>806</v>
      </c>
      <c r="C153" s="218" t="s">
        <v>83</v>
      </c>
      <c r="D153" s="218" t="s">
        <v>34</v>
      </c>
      <c r="E153" s="219" t="s">
        <v>799</v>
      </c>
      <c r="F153" s="217" t="s">
        <v>108</v>
      </c>
      <c r="G153" s="217">
        <v>10</v>
      </c>
    </row>
    <row r="154" spans="2:7" hidden="1" x14ac:dyDescent="0.25">
      <c r="B154" s="214" t="s">
        <v>806</v>
      </c>
      <c r="C154" s="218" t="s">
        <v>83</v>
      </c>
      <c r="D154" s="218" t="s">
        <v>34</v>
      </c>
      <c r="E154" s="219" t="s">
        <v>799</v>
      </c>
      <c r="F154" s="217" t="s">
        <v>110</v>
      </c>
      <c r="G154" s="217">
        <v>10</v>
      </c>
    </row>
    <row r="155" spans="2:7" hidden="1" x14ac:dyDescent="0.25">
      <c r="B155" s="214" t="s">
        <v>806</v>
      </c>
      <c r="C155" s="218" t="s">
        <v>83</v>
      </c>
      <c r="D155" s="218" t="s">
        <v>41</v>
      </c>
      <c r="E155" s="219" t="s">
        <v>799</v>
      </c>
      <c r="F155" s="217" t="s">
        <v>112</v>
      </c>
      <c r="G155" s="217">
        <v>5</v>
      </c>
    </row>
    <row r="156" spans="2:7" hidden="1" x14ac:dyDescent="0.25">
      <c r="B156" s="214" t="s">
        <v>806</v>
      </c>
      <c r="C156" s="218" t="s">
        <v>83</v>
      </c>
      <c r="D156" s="218" t="s">
        <v>46</v>
      </c>
      <c r="E156" s="219" t="s">
        <v>799</v>
      </c>
      <c r="F156" s="217" t="s">
        <v>113</v>
      </c>
      <c r="G156" s="217">
        <v>4</v>
      </c>
    </row>
    <row r="157" spans="2:7" hidden="1" x14ac:dyDescent="0.25">
      <c r="B157" s="214" t="s">
        <v>806</v>
      </c>
      <c r="C157" s="218" t="s">
        <v>114</v>
      </c>
      <c r="D157" s="218" t="s">
        <v>12</v>
      </c>
      <c r="E157" s="219" t="s">
        <v>799</v>
      </c>
      <c r="F157" s="217" t="s">
        <v>115</v>
      </c>
      <c r="G157" s="217">
        <v>10</v>
      </c>
    </row>
    <row r="158" spans="2:7" hidden="1" x14ac:dyDescent="0.25">
      <c r="B158" s="214" t="s">
        <v>806</v>
      </c>
      <c r="C158" s="218" t="s">
        <v>114</v>
      </c>
      <c r="D158" s="218" t="s">
        <v>12</v>
      </c>
      <c r="E158" s="219" t="s">
        <v>799</v>
      </c>
      <c r="F158" s="217" t="s">
        <v>118</v>
      </c>
      <c r="G158" s="217">
        <v>10</v>
      </c>
    </row>
    <row r="159" spans="2:7" hidden="1" x14ac:dyDescent="0.25">
      <c r="B159" s="214" t="s">
        <v>806</v>
      </c>
      <c r="C159" s="218" t="s">
        <v>114</v>
      </c>
      <c r="D159" s="218" t="s">
        <v>12</v>
      </c>
      <c r="E159" s="219" t="s">
        <v>799</v>
      </c>
      <c r="F159" s="217" t="s">
        <v>206</v>
      </c>
      <c r="G159" s="217">
        <v>9</v>
      </c>
    </row>
    <row r="160" spans="2:7" hidden="1" x14ac:dyDescent="0.25">
      <c r="B160" s="214" t="s">
        <v>806</v>
      </c>
      <c r="C160" s="218" t="s">
        <v>114</v>
      </c>
      <c r="D160" s="218" t="s">
        <v>12</v>
      </c>
      <c r="E160" s="219" t="s">
        <v>799</v>
      </c>
      <c r="F160" s="217" t="s">
        <v>121</v>
      </c>
      <c r="G160" s="217">
        <v>8</v>
      </c>
    </row>
    <row r="161" spans="2:7" hidden="1" x14ac:dyDescent="0.25">
      <c r="B161" s="214" t="s">
        <v>806</v>
      </c>
      <c r="C161" s="218" t="s">
        <v>114</v>
      </c>
      <c r="D161" s="218" t="s">
        <v>12</v>
      </c>
      <c r="E161" s="219" t="s">
        <v>799</v>
      </c>
      <c r="F161" s="217" t="s">
        <v>124</v>
      </c>
      <c r="G161" s="217">
        <v>9</v>
      </c>
    </row>
    <row r="162" spans="2:7" hidden="1" x14ac:dyDescent="0.25">
      <c r="B162" s="214" t="s">
        <v>806</v>
      </c>
      <c r="C162" s="218" t="s">
        <v>114</v>
      </c>
      <c r="D162" s="218" t="s">
        <v>12</v>
      </c>
      <c r="E162" s="219" t="s">
        <v>799</v>
      </c>
      <c r="F162" s="217" t="s">
        <v>127</v>
      </c>
      <c r="G162" s="217">
        <v>6</v>
      </c>
    </row>
    <row r="163" spans="2:7" hidden="1" x14ac:dyDescent="0.25">
      <c r="B163" s="214" t="s">
        <v>806</v>
      </c>
      <c r="C163" s="218" t="s">
        <v>114</v>
      </c>
      <c r="D163" s="218" t="s">
        <v>12</v>
      </c>
      <c r="E163" s="219" t="s">
        <v>799</v>
      </c>
      <c r="F163" s="217" t="s">
        <v>130</v>
      </c>
      <c r="G163" s="217">
        <v>0</v>
      </c>
    </row>
    <row r="164" spans="2:7" hidden="1" x14ac:dyDescent="0.25">
      <c r="B164" s="214" t="s">
        <v>806</v>
      </c>
      <c r="C164" s="218" t="s">
        <v>114</v>
      </c>
      <c r="D164" s="218" t="s">
        <v>12</v>
      </c>
      <c r="E164" s="218" t="s">
        <v>798</v>
      </c>
      <c r="F164" s="217" t="s">
        <v>133</v>
      </c>
      <c r="G164" s="217">
        <v>10</v>
      </c>
    </row>
    <row r="165" spans="2:7" hidden="1" x14ac:dyDescent="0.25">
      <c r="B165" s="214" t="s">
        <v>806</v>
      </c>
      <c r="C165" s="218" t="s">
        <v>114</v>
      </c>
      <c r="D165" s="218" t="s">
        <v>12</v>
      </c>
      <c r="E165" s="218" t="s">
        <v>797</v>
      </c>
      <c r="F165" s="220" t="s">
        <v>185</v>
      </c>
      <c r="G165" s="220">
        <v>6</v>
      </c>
    </row>
    <row r="166" spans="2:7" hidden="1" x14ac:dyDescent="0.25">
      <c r="B166" s="214" t="s">
        <v>806</v>
      </c>
      <c r="C166" s="218" t="s">
        <v>114</v>
      </c>
      <c r="D166" s="218" t="s">
        <v>12</v>
      </c>
      <c r="E166" s="218" t="s">
        <v>797</v>
      </c>
      <c r="F166" s="220" t="s">
        <v>186</v>
      </c>
      <c r="G166" s="220">
        <v>0</v>
      </c>
    </row>
    <row r="167" spans="2:7" hidden="1" x14ac:dyDescent="0.25">
      <c r="B167" s="214" t="s">
        <v>806</v>
      </c>
      <c r="C167" s="218" t="s">
        <v>114</v>
      </c>
      <c r="D167" s="218" t="s">
        <v>12</v>
      </c>
      <c r="E167" s="218" t="s">
        <v>788</v>
      </c>
      <c r="F167" s="220" t="s">
        <v>221</v>
      </c>
      <c r="G167" s="220">
        <v>0</v>
      </c>
    </row>
    <row r="168" spans="2:7" hidden="1" x14ac:dyDescent="0.25">
      <c r="B168" s="214" t="s">
        <v>806</v>
      </c>
      <c r="C168" s="218" t="s">
        <v>114</v>
      </c>
      <c r="D168" s="218" t="s">
        <v>12</v>
      </c>
      <c r="E168" s="218" t="s">
        <v>788</v>
      </c>
      <c r="F168" s="220" t="s">
        <v>222</v>
      </c>
      <c r="G168" s="220">
        <v>0</v>
      </c>
    </row>
    <row r="169" spans="2:7" hidden="1" x14ac:dyDescent="0.25">
      <c r="B169" s="214" t="s">
        <v>806</v>
      </c>
      <c r="C169" s="218" t="s">
        <v>114</v>
      </c>
      <c r="D169" s="218" t="s">
        <v>12</v>
      </c>
      <c r="E169" s="218" t="s">
        <v>787</v>
      </c>
      <c r="F169" s="220" t="s">
        <v>775</v>
      </c>
      <c r="G169" s="217">
        <v>0</v>
      </c>
    </row>
    <row r="170" spans="2:7" hidden="1" x14ac:dyDescent="0.25">
      <c r="B170" s="214" t="s">
        <v>806</v>
      </c>
      <c r="C170" s="218" t="s">
        <v>114</v>
      </c>
      <c r="D170" s="218" t="s">
        <v>12</v>
      </c>
      <c r="E170" s="218" t="s">
        <v>787</v>
      </c>
      <c r="F170" s="220" t="s">
        <v>776</v>
      </c>
      <c r="G170" s="217">
        <v>0</v>
      </c>
    </row>
    <row r="171" spans="2:7" hidden="1" x14ac:dyDescent="0.25">
      <c r="B171" s="214" t="s">
        <v>806</v>
      </c>
      <c r="C171" s="218" t="s">
        <v>114</v>
      </c>
      <c r="D171" s="218" t="s">
        <v>12</v>
      </c>
      <c r="E171" s="218" t="s">
        <v>786</v>
      </c>
      <c r="F171" s="220" t="s">
        <v>783</v>
      </c>
      <c r="G171" s="217">
        <v>0</v>
      </c>
    </row>
    <row r="172" spans="2:7" hidden="1" x14ac:dyDescent="0.25">
      <c r="B172" s="214" t="s">
        <v>806</v>
      </c>
      <c r="C172" s="218" t="s">
        <v>114</v>
      </c>
      <c r="D172" s="218" t="s">
        <v>12</v>
      </c>
      <c r="E172" s="218" t="s">
        <v>786</v>
      </c>
      <c r="F172" s="220" t="s">
        <v>784</v>
      </c>
      <c r="G172" s="217">
        <v>0</v>
      </c>
    </row>
    <row r="173" spans="2:7" hidden="1" x14ac:dyDescent="0.25">
      <c r="B173" s="214" t="s">
        <v>806</v>
      </c>
      <c r="C173" s="218" t="s">
        <v>114</v>
      </c>
      <c r="D173" s="218" t="s">
        <v>34</v>
      </c>
      <c r="E173" s="219" t="s">
        <v>799</v>
      </c>
      <c r="F173" s="217" t="s">
        <v>134</v>
      </c>
      <c r="G173" s="217">
        <v>10</v>
      </c>
    </row>
    <row r="174" spans="2:7" hidden="1" x14ac:dyDescent="0.25">
      <c r="B174" s="214" t="s">
        <v>806</v>
      </c>
      <c r="C174" s="218" t="s">
        <v>114</v>
      </c>
      <c r="D174" s="218" t="s">
        <v>34</v>
      </c>
      <c r="E174" s="219" t="s">
        <v>799</v>
      </c>
      <c r="F174" s="217" t="s">
        <v>137</v>
      </c>
      <c r="G174" s="217">
        <v>10</v>
      </c>
    </row>
    <row r="175" spans="2:7" hidden="1" x14ac:dyDescent="0.25">
      <c r="B175" s="214" t="s">
        <v>806</v>
      </c>
      <c r="C175" s="218" t="s">
        <v>114</v>
      </c>
      <c r="D175" s="218" t="s">
        <v>41</v>
      </c>
      <c r="E175" s="219" t="s">
        <v>799</v>
      </c>
      <c r="F175" s="217" t="s">
        <v>140</v>
      </c>
      <c r="G175" s="217">
        <v>5</v>
      </c>
    </row>
    <row r="176" spans="2:7" hidden="1" x14ac:dyDescent="0.25">
      <c r="B176" s="214" t="s">
        <v>806</v>
      </c>
      <c r="C176" s="218" t="s">
        <v>114</v>
      </c>
      <c r="D176" s="218" t="s">
        <v>41</v>
      </c>
      <c r="E176" s="219" t="s">
        <v>799</v>
      </c>
      <c r="F176" s="217" t="s">
        <v>141</v>
      </c>
      <c r="G176" s="217">
        <v>5</v>
      </c>
    </row>
    <row r="177" spans="2:7" hidden="1" x14ac:dyDescent="0.25">
      <c r="B177" s="214" t="s">
        <v>806</v>
      </c>
      <c r="C177" s="218" t="s">
        <v>114</v>
      </c>
      <c r="D177" s="218" t="s">
        <v>46</v>
      </c>
      <c r="E177" s="219" t="s">
        <v>799</v>
      </c>
      <c r="F177" s="217" t="s">
        <v>142</v>
      </c>
      <c r="G177" s="217">
        <v>4</v>
      </c>
    </row>
    <row r="178" spans="2:7" hidden="1" x14ac:dyDescent="0.25">
      <c r="B178" s="267" t="s">
        <v>811</v>
      </c>
      <c r="C178" s="229" t="s">
        <v>11</v>
      </c>
      <c r="D178" s="229" t="s">
        <v>12</v>
      </c>
      <c r="E178" s="230" t="s">
        <v>799</v>
      </c>
      <c r="F178" s="231" t="s">
        <v>812</v>
      </c>
      <c r="G178" s="231">
        <v>10</v>
      </c>
    </row>
    <row r="179" spans="2:7" hidden="1" x14ac:dyDescent="0.25">
      <c r="B179" s="267" t="s">
        <v>811</v>
      </c>
      <c r="C179" s="147" t="s">
        <v>11</v>
      </c>
      <c r="D179" s="147" t="s">
        <v>12</v>
      </c>
      <c r="E179" s="232" t="s">
        <v>799</v>
      </c>
      <c r="F179" s="231" t="s">
        <v>813</v>
      </c>
      <c r="G179" s="231">
        <v>10</v>
      </c>
    </row>
    <row r="180" spans="2:7" hidden="1" x14ac:dyDescent="0.25">
      <c r="B180" s="267" t="s">
        <v>811</v>
      </c>
      <c r="C180" s="147" t="s">
        <v>11</v>
      </c>
      <c r="D180" s="147" t="s">
        <v>12</v>
      </c>
      <c r="E180" s="232" t="s">
        <v>799</v>
      </c>
      <c r="F180" s="231" t="s">
        <v>814</v>
      </c>
      <c r="G180" s="231">
        <v>9</v>
      </c>
    </row>
    <row r="181" spans="2:7" hidden="1" x14ac:dyDescent="0.25">
      <c r="B181" s="267" t="s">
        <v>811</v>
      </c>
      <c r="C181" s="147" t="s">
        <v>11</v>
      </c>
      <c r="D181" s="147" t="s">
        <v>12</v>
      </c>
      <c r="E181" s="232" t="s">
        <v>799</v>
      </c>
      <c r="F181" s="231" t="s">
        <v>815</v>
      </c>
      <c r="G181" s="231">
        <v>8</v>
      </c>
    </row>
    <row r="182" spans="2:7" hidden="1" x14ac:dyDescent="0.25">
      <c r="B182" s="267" t="s">
        <v>811</v>
      </c>
      <c r="C182" s="147" t="s">
        <v>11</v>
      </c>
      <c r="D182" s="147" t="s">
        <v>12</v>
      </c>
      <c r="E182" s="232" t="s">
        <v>799</v>
      </c>
      <c r="F182" s="231" t="s">
        <v>816</v>
      </c>
      <c r="G182" s="231">
        <v>9</v>
      </c>
    </row>
    <row r="183" spans="2:7" hidden="1" x14ac:dyDescent="0.25">
      <c r="B183" s="267" t="s">
        <v>811</v>
      </c>
      <c r="C183" s="147" t="s">
        <v>11</v>
      </c>
      <c r="D183" s="147" t="s">
        <v>12</v>
      </c>
      <c r="E183" s="232" t="s">
        <v>799</v>
      </c>
      <c r="F183" s="231" t="s">
        <v>817</v>
      </c>
      <c r="G183" s="231">
        <v>7</v>
      </c>
    </row>
    <row r="184" spans="2:7" hidden="1" x14ac:dyDescent="0.25">
      <c r="B184" s="267" t="s">
        <v>811</v>
      </c>
      <c r="C184" s="147" t="s">
        <v>11</v>
      </c>
      <c r="D184" s="147" t="s">
        <v>12</v>
      </c>
      <c r="E184" s="232" t="s">
        <v>799</v>
      </c>
      <c r="F184" s="231" t="s">
        <v>818</v>
      </c>
      <c r="G184" s="231">
        <v>10</v>
      </c>
    </row>
    <row r="185" spans="2:7" hidden="1" x14ac:dyDescent="0.25">
      <c r="B185" s="267" t="s">
        <v>811</v>
      </c>
      <c r="C185" s="147" t="s">
        <v>11</v>
      </c>
      <c r="D185" s="147" t="s">
        <v>12</v>
      </c>
      <c r="E185" s="147" t="s">
        <v>798</v>
      </c>
      <c r="F185" s="231" t="s">
        <v>819</v>
      </c>
      <c r="G185" s="231">
        <v>9</v>
      </c>
    </row>
    <row r="186" spans="2:7" hidden="1" x14ac:dyDescent="0.25">
      <c r="B186" s="267" t="s">
        <v>811</v>
      </c>
      <c r="C186" s="147" t="s">
        <v>11</v>
      </c>
      <c r="D186" s="147" t="s">
        <v>12</v>
      </c>
      <c r="E186" s="147" t="s">
        <v>797</v>
      </c>
      <c r="F186" s="233" t="s">
        <v>820</v>
      </c>
      <c r="G186" s="233">
        <v>6</v>
      </c>
    </row>
    <row r="187" spans="2:7" hidden="1" x14ac:dyDescent="0.25">
      <c r="B187" s="267" t="s">
        <v>811</v>
      </c>
      <c r="C187" s="147" t="s">
        <v>11</v>
      </c>
      <c r="D187" s="147" t="s">
        <v>12</v>
      </c>
      <c r="E187" s="147" t="s">
        <v>797</v>
      </c>
      <c r="F187" s="233" t="s">
        <v>821</v>
      </c>
      <c r="G187" s="233">
        <v>5</v>
      </c>
    </row>
    <row r="188" spans="2:7" hidden="1" x14ac:dyDescent="0.25">
      <c r="B188" s="267" t="s">
        <v>811</v>
      </c>
      <c r="C188" s="147" t="s">
        <v>11</v>
      </c>
      <c r="D188" s="147" t="s">
        <v>12</v>
      </c>
      <c r="E188" s="147" t="s">
        <v>788</v>
      </c>
      <c r="F188" s="233" t="s">
        <v>822</v>
      </c>
      <c r="G188" s="233">
        <v>6</v>
      </c>
    </row>
    <row r="189" spans="2:7" hidden="1" x14ac:dyDescent="0.25">
      <c r="B189" s="267" t="s">
        <v>811</v>
      </c>
      <c r="C189" s="147" t="s">
        <v>11</v>
      </c>
      <c r="D189" s="147" t="s">
        <v>12</v>
      </c>
      <c r="E189" s="147" t="s">
        <v>788</v>
      </c>
      <c r="F189" s="233" t="s">
        <v>823</v>
      </c>
      <c r="G189" s="233">
        <v>5</v>
      </c>
    </row>
    <row r="190" spans="2:7" hidden="1" x14ac:dyDescent="0.25">
      <c r="B190" s="267" t="s">
        <v>811</v>
      </c>
      <c r="C190" s="147" t="s">
        <v>11</v>
      </c>
      <c r="D190" s="147" t="s">
        <v>12</v>
      </c>
      <c r="E190" s="147" t="s">
        <v>787</v>
      </c>
      <c r="F190" s="233" t="s">
        <v>824</v>
      </c>
      <c r="G190" s="233">
        <v>0</v>
      </c>
    </row>
    <row r="191" spans="2:7" hidden="1" x14ac:dyDescent="0.25">
      <c r="B191" s="267" t="s">
        <v>811</v>
      </c>
      <c r="C191" s="147" t="s">
        <v>11</v>
      </c>
      <c r="D191" s="147" t="s">
        <v>12</v>
      </c>
      <c r="E191" s="147" t="s">
        <v>787</v>
      </c>
      <c r="F191" s="233" t="s">
        <v>825</v>
      </c>
      <c r="G191" s="233">
        <v>0</v>
      </c>
    </row>
    <row r="192" spans="2:7" hidden="1" x14ac:dyDescent="0.25">
      <c r="B192" s="267" t="s">
        <v>811</v>
      </c>
      <c r="C192" s="147" t="s">
        <v>11</v>
      </c>
      <c r="D192" s="147" t="s">
        <v>12</v>
      </c>
      <c r="E192" s="147" t="s">
        <v>786</v>
      </c>
      <c r="F192" s="233" t="s">
        <v>826</v>
      </c>
      <c r="G192" s="233">
        <v>0</v>
      </c>
    </row>
    <row r="193" spans="2:7" hidden="1" x14ac:dyDescent="0.25">
      <c r="B193" s="267" t="s">
        <v>811</v>
      </c>
      <c r="C193" s="147" t="s">
        <v>11</v>
      </c>
      <c r="D193" s="147" t="s">
        <v>12</v>
      </c>
      <c r="E193" s="147" t="s">
        <v>786</v>
      </c>
      <c r="F193" s="233" t="s">
        <v>827</v>
      </c>
      <c r="G193" s="233">
        <v>0</v>
      </c>
    </row>
    <row r="194" spans="2:7" hidden="1" x14ac:dyDescent="0.25">
      <c r="B194" s="267" t="s">
        <v>811</v>
      </c>
      <c r="C194" s="147" t="s">
        <v>11</v>
      </c>
      <c r="D194" s="147" t="s">
        <v>34</v>
      </c>
      <c r="E194" s="232" t="s">
        <v>799</v>
      </c>
      <c r="F194" s="231" t="s">
        <v>828</v>
      </c>
      <c r="G194" s="231">
        <v>10</v>
      </c>
    </row>
    <row r="195" spans="2:7" hidden="1" x14ac:dyDescent="0.25">
      <c r="B195" s="267" t="s">
        <v>811</v>
      </c>
      <c r="C195" s="147" t="s">
        <v>11</v>
      </c>
      <c r="D195" s="147" t="s">
        <v>34</v>
      </c>
      <c r="E195" s="232" t="s">
        <v>799</v>
      </c>
      <c r="F195" s="233" t="s">
        <v>829</v>
      </c>
      <c r="G195" s="233">
        <v>10</v>
      </c>
    </row>
    <row r="196" spans="2:7" hidden="1" x14ac:dyDescent="0.25">
      <c r="B196" s="267" t="s">
        <v>811</v>
      </c>
      <c r="C196" s="147" t="s">
        <v>11</v>
      </c>
      <c r="D196" s="147" t="s">
        <v>41</v>
      </c>
      <c r="E196" s="232" t="s">
        <v>799</v>
      </c>
      <c r="F196" s="233" t="s">
        <v>830</v>
      </c>
      <c r="G196" s="233">
        <v>5</v>
      </c>
    </row>
    <row r="197" spans="2:7" hidden="1" x14ac:dyDescent="0.25">
      <c r="B197" s="267" t="s">
        <v>811</v>
      </c>
      <c r="C197" s="147" t="s">
        <v>11</v>
      </c>
      <c r="D197" s="147" t="s">
        <v>41</v>
      </c>
      <c r="E197" s="232" t="s">
        <v>799</v>
      </c>
      <c r="F197" s="233" t="s">
        <v>831</v>
      </c>
      <c r="G197" s="233">
        <v>5</v>
      </c>
    </row>
    <row r="198" spans="2:7" hidden="1" x14ac:dyDescent="0.25">
      <c r="B198" s="267" t="s">
        <v>811</v>
      </c>
      <c r="C198" s="147" t="s">
        <v>11</v>
      </c>
      <c r="D198" s="147" t="s">
        <v>41</v>
      </c>
      <c r="E198" s="232" t="s">
        <v>799</v>
      </c>
      <c r="F198" s="233" t="s">
        <v>832</v>
      </c>
      <c r="G198" s="233">
        <v>5</v>
      </c>
    </row>
    <row r="199" spans="2:7" hidden="1" x14ac:dyDescent="0.25">
      <c r="B199" s="267" t="s">
        <v>811</v>
      </c>
      <c r="C199" s="147" t="s">
        <v>11</v>
      </c>
      <c r="D199" s="147" t="s">
        <v>46</v>
      </c>
      <c r="E199" s="232" t="s">
        <v>799</v>
      </c>
      <c r="F199" s="233" t="s">
        <v>833</v>
      </c>
      <c r="G199" s="233">
        <v>4</v>
      </c>
    </row>
    <row r="200" spans="2:7" hidden="1" x14ac:dyDescent="0.25">
      <c r="B200" s="267" t="s">
        <v>811</v>
      </c>
      <c r="C200" s="147" t="s">
        <v>48</v>
      </c>
      <c r="D200" s="147" t="s">
        <v>12</v>
      </c>
      <c r="E200" s="232" t="s">
        <v>799</v>
      </c>
      <c r="F200" s="233" t="s">
        <v>834</v>
      </c>
      <c r="G200" s="233">
        <v>10</v>
      </c>
    </row>
    <row r="201" spans="2:7" hidden="1" x14ac:dyDescent="0.25">
      <c r="B201" s="267" t="s">
        <v>811</v>
      </c>
      <c r="C201" s="147" t="s">
        <v>48</v>
      </c>
      <c r="D201" s="147" t="s">
        <v>12</v>
      </c>
      <c r="E201" s="232" t="s">
        <v>799</v>
      </c>
      <c r="F201" s="231" t="s">
        <v>835</v>
      </c>
      <c r="G201" s="231">
        <v>10</v>
      </c>
    </row>
    <row r="202" spans="2:7" hidden="1" x14ac:dyDescent="0.25">
      <c r="B202" s="267" t="s">
        <v>811</v>
      </c>
      <c r="C202" s="147" t="s">
        <v>48</v>
      </c>
      <c r="D202" s="147" t="s">
        <v>12</v>
      </c>
      <c r="E202" s="232" t="s">
        <v>799</v>
      </c>
      <c r="F202" s="231" t="s">
        <v>836</v>
      </c>
      <c r="G202" s="231">
        <v>10</v>
      </c>
    </row>
    <row r="203" spans="2:7" hidden="1" x14ac:dyDescent="0.25">
      <c r="B203" s="267" t="s">
        <v>811</v>
      </c>
      <c r="C203" s="147" t="s">
        <v>48</v>
      </c>
      <c r="D203" s="147" t="s">
        <v>12</v>
      </c>
      <c r="E203" s="232" t="s">
        <v>799</v>
      </c>
      <c r="F203" s="231" t="s">
        <v>837</v>
      </c>
      <c r="G203" s="231">
        <v>10</v>
      </c>
    </row>
    <row r="204" spans="2:7" hidden="1" x14ac:dyDescent="0.25">
      <c r="B204" s="267" t="s">
        <v>811</v>
      </c>
      <c r="C204" s="147" t="s">
        <v>48</v>
      </c>
      <c r="D204" s="147" t="s">
        <v>12</v>
      </c>
      <c r="E204" s="232" t="s">
        <v>799</v>
      </c>
      <c r="F204" s="231" t="s">
        <v>838</v>
      </c>
      <c r="G204" s="231">
        <v>10</v>
      </c>
    </row>
    <row r="205" spans="2:7" hidden="1" x14ac:dyDescent="0.25">
      <c r="B205" s="267" t="s">
        <v>811</v>
      </c>
      <c r="C205" s="147" t="s">
        <v>48</v>
      </c>
      <c r="D205" s="147" t="s">
        <v>12</v>
      </c>
      <c r="E205" s="232" t="s">
        <v>799</v>
      </c>
      <c r="F205" s="231" t="s">
        <v>839</v>
      </c>
      <c r="G205" s="231">
        <v>10</v>
      </c>
    </row>
    <row r="206" spans="2:7" hidden="1" x14ac:dyDescent="0.25">
      <c r="B206" s="267" t="s">
        <v>811</v>
      </c>
      <c r="C206" s="147" t="s">
        <v>48</v>
      </c>
      <c r="D206" s="147" t="s">
        <v>12</v>
      </c>
      <c r="E206" s="232" t="s">
        <v>799</v>
      </c>
      <c r="F206" s="231" t="s">
        <v>840</v>
      </c>
      <c r="G206" s="231">
        <v>10</v>
      </c>
    </row>
    <row r="207" spans="2:7" hidden="1" x14ac:dyDescent="0.25">
      <c r="B207" s="267" t="s">
        <v>811</v>
      </c>
      <c r="C207" s="147" t="s">
        <v>48</v>
      </c>
      <c r="D207" s="147" t="s">
        <v>12</v>
      </c>
      <c r="E207" s="232" t="s">
        <v>799</v>
      </c>
      <c r="F207" s="231" t="s">
        <v>841</v>
      </c>
      <c r="G207" s="231">
        <v>9</v>
      </c>
    </row>
    <row r="208" spans="2:7" hidden="1" x14ac:dyDescent="0.25">
      <c r="B208" s="267" t="s">
        <v>811</v>
      </c>
      <c r="C208" s="147" t="s">
        <v>48</v>
      </c>
      <c r="D208" s="147" t="s">
        <v>12</v>
      </c>
      <c r="E208" s="147" t="s">
        <v>798</v>
      </c>
      <c r="F208" s="231" t="s">
        <v>842</v>
      </c>
      <c r="G208" s="231">
        <v>8</v>
      </c>
    </row>
    <row r="209" spans="2:7" hidden="1" x14ac:dyDescent="0.25">
      <c r="B209" s="267" t="s">
        <v>811</v>
      </c>
      <c r="C209" s="147" t="s">
        <v>48</v>
      </c>
      <c r="D209" s="147" t="s">
        <v>12</v>
      </c>
      <c r="E209" s="147" t="s">
        <v>798</v>
      </c>
      <c r="F209" s="231" t="s">
        <v>843</v>
      </c>
      <c r="G209" s="231">
        <v>7</v>
      </c>
    </row>
    <row r="210" spans="2:7" hidden="1" x14ac:dyDescent="0.25">
      <c r="B210" s="267" t="s">
        <v>811</v>
      </c>
      <c r="C210" s="147" t="s">
        <v>48</v>
      </c>
      <c r="D210" s="147" t="s">
        <v>12</v>
      </c>
      <c r="E210" s="147" t="s">
        <v>797</v>
      </c>
      <c r="F210" s="233" t="s">
        <v>844</v>
      </c>
      <c r="G210" s="233">
        <v>0</v>
      </c>
    </row>
    <row r="211" spans="2:7" hidden="1" x14ac:dyDescent="0.25">
      <c r="B211" s="267" t="s">
        <v>811</v>
      </c>
      <c r="C211" s="147" t="s">
        <v>48</v>
      </c>
      <c r="D211" s="147" t="s">
        <v>12</v>
      </c>
      <c r="E211" s="147" t="s">
        <v>797</v>
      </c>
      <c r="F211" s="233" t="s">
        <v>845</v>
      </c>
      <c r="G211" s="233">
        <v>5</v>
      </c>
    </row>
    <row r="212" spans="2:7" hidden="1" x14ac:dyDescent="0.25">
      <c r="B212" s="267" t="s">
        <v>811</v>
      </c>
      <c r="C212" s="147" t="s">
        <v>48</v>
      </c>
      <c r="D212" s="147" t="s">
        <v>12</v>
      </c>
      <c r="E212" s="147" t="s">
        <v>788</v>
      </c>
      <c r="F212" s="233" t="s">
        <v>846</v>
      </c>
      <c r="G212" s="233">
        <v>0</v>
      </c>
    </row>
    <row r="213" spans="2:7" hidden="1" x14ac:dyDescent="0.25">
      <c r="B213" s="267" t="s">
        <v>811</v>
      </c>
      <c r="C213" s="147" t="s">
        <v>48</v>
      </c>
      <c r="D213" s="147" t="s">
        <v>12</v>
      </c>
      <c r="E213" s="147" t="s">
        <v>788</v>
      </c>
      <c r="F213" s="233" t="s">
        <v>847</v>
      </c>
      <c r="G213" s="233">
        <v>0</v>
      </c>
    </row>
    <row r="214" spans="2:7" hidden="1" x14ac:dyDescent="0.25">
      <c r="B214" s="267" t="s">
        <v>811</v>
      </c>
      <c r="C214" s="147" t="s">
        <v>48</v>
      </c>
      <c r="D214" s="147" t="s">
        <v>12</v>
      </c>
      <c r="E214" s="147" t="s">
        <v>787</v>
      </c>
      <c r="F214" s="233" t="s">
        <v>848</v>
      </c>
      <c r="G214" s="233">
        <v>0</v>
      </c>
    </row>
    <row r="215" spans="2:7" hidden="1" x14ac:dyDescent="0.25">
      <c r="B215" s="267" t="s">
        <v>811</v>
      </c>
      <c r="C215" s="147" t="s">
        <v>48</v>
      </c>
      <c r="D215" s="147" t="s">
        <v>12</v>
      </c>
      <c r="E215" s="147" t="s">
        <v>787</v>
      </c>
      <c r="F215" s="233" t="s">
        <v>849</v>
      </c>
      <c r="G215" s="233">
        <v>0</v>
      </c>
    </row>
    <row r="216" spans="2:7" hidden="1" x14ac:dyDescent="0.25">
      <c r="B216" s="267" t="s">
        <v>811</v>
      </c>
      <c r="C216" s="147" t="s">
        <v>48</v>
      </c>
      <c r="D216" s="147" t="s">
        <v>12</v>
      </c>
      <c r="E216" s="147" t="s">
        <v>786</v>
      </c>
      <c r="F216" s="233" t="s">
        <v>850</v>
      </c>
      <c r="G216" s="233">
        <v>0</v>
      </c>
    </row>
    <row r="217" spans="2:7" hidden="1" x14ac:dyDescent="0.25">
      <c r="B217" s="267" t="s">
        <v>811</v>
      </c>
      <c r="C217" s="147" t="s">
        <v>48</v>
      </c>
      <c r="D217" s="147" t="s">
        <v>12</v>
      </c>
      <c r="E217" s="147" t="s">
        <v>786</v>
      </c>
      <c r="F217" s="233" t="s">
        <v>851</v>
      </c>
      <c r="G217" s="233">
        <v>0</v>
      </c>
    </row>
    <row r="218" spans="2:7" hidden="1" x14ac:dyDescent="0.25">
      <c r="B218" s="267" t="s">
        <v>811</v>
      </c>
      <c r="C218" s="147" t="s">
        <v>48</v>
      </c>
      <c r="D218" s="147" t="s">
        <v>34</v>
      </c>
      <c r="E218" s="232" t="s">
        <v>799</v>
      </c>
      <c r="F218" s="231" t="s">
        <v>852</v>
      </c>
      <c r="G218" s="231">
        <v>10</v>
      </c>
    </row>
    <row r="219" spans="2:7" hidden="1" x14ac:dyDescent="0.25">
      <c r="B219" s="267" t="s">
        <v>811</v>
      </c>
      <c r="C219" s="147" t="s">
        <v>48</v>
      </c>
      <c r="D219" s="147" t="s">
        <v>34</v>
      </c>
      <c r="E219" s="232" t="s">
        <v>799</v>
      </c>
      <c r="F219" s="231" t="s">
        <v>853</v>
      </c>
      <c r="G219" s="231">
        <v>10</v>
      </c>
    </row>
    <row r="220" spans="2:7" hidden="1" x14ac:dyDescent="0.25">
      <c r="B220" s="267" t="s">
        <v>811</v>
      </c>
      <c r="C220" s="147" t="s">
        <v>48</v>
      </c>
      <c r="D220" s="147" t="s">
        <v>41</v>
      </c>
      <c r="E220" s="232" t="s">
        <v>799</v>
      </c>
      <c r="F220" s="231" t="s">
        <v>854</v>
      </c>
      <c r="G220" s="231">
        <v>5</v>
      </c>
    </row>
    <row r="221" spans="2:7" hidden="1" x14ac:dyDescent="0.25">
      <c r="B221" s="267" t="s">
        <v>811</v>
      </c>
      <c r="C221" s="147" t="s">
        <v>48</v>
      </c>
      <c r="D221" s="147" t="s">
        <v>41</v>
      </c>
      <c r="E221" s="232" t="s">
        <v>799</v>
      </c>
      <c r="F221" s="231" t="s">
        <v>855</v>
      </c>
      <c r="G221" s="231">
        <v>5</v>
      </c>
    </row>
    <row r="222" spans="2:7" hidden="1" x14ac:dyDescent="0.25">
      <c r="B222" s="267" t="s">
        <v>811</v>
      </c>
      <c r="C222" s="147" t="s">
        <v>48</v>
      </c>
      <c r="D222" s="147" t="s">
        <v>46</v>
      </c>
      <c r="E222" s="232" t="s">
        <v>799</v>
      </c>
      <c r="F222" s="231" t="s">
        <v>856</v>
      </c>
      <c r="G222" s="231">
        <v>4</v>
      </c>
    </row>
    <row r="223" spans="2:7" hidden="1" x14ac:dyDescent="0.25">
      <c r="B223" s="267" t="s">
        <v>811</v>
      </c>
      <c r="C223" s="147" t="s">
        <v>83</v>
      </c>
      <c r="D223" s="147" t="s">
        <v>12</v>
      </c>
      <c r="E223" s="232" t="s">
        <v>799</v>
      </c>
      <c r="F223" s="231" t="s">
        <v>857</v>
      </c>
      <c r="G223" s="231">
        <v>9</v>
      </c>
    </row>
    <row r="224" spans="2:7" hidden="1" x14ac:dyDescent="0.25">
      <c r="B224" s="267" t="s">
        <v>811</v>
      </c>
      <c r="C224" s="147" t="s">
        <v>83</v>
      </c>
      <c r="D224" s="147" t="s">
        <v>12</v>
      </c>
      <c r="E224" s="232" t="s">
        <v>799</v>
      </c>
      <c r="F224" s="231" t="s">
        <v>858</v>
      </c>
      <c r="G224" s="231">
        <v>10</v>
      </c>
    </row>
    <row r="225" spans="2:7" hidden="1" x14ac:dyDescent="0.25">
      <c r="B225" s="267" t="s">
        <v>811</v>
      </c>
      <c r="C225" s="147" t="s">
        <v>83</v>
      </c>
      <c r="D225" s="147" t="s">
        <v>12</v>
      </c>
      <c r="E225" s="232" t="s">
        <v>799</v>
      </c>
      <c r="F225" s="231" t="s">
        <v>859</v>
      </c>
      <c r="G225" s="231">
        <v>10</v>
      </c>
    </row>
    <row r="226" spans="2:7" hidden="1" x14ac:dyDescent="0.25">
      <c r="B226" s="267" t="s">
        <v>811</v>
      </c>
      <c r="C226" s="147" t="s">
        <v>83</v>
      </c>
      <c r="D226" s="147" t="s">
        <v>12</v>
      </c>
      <c r="E226" s="232" t="s">
        <v>799</v>
      </c>
      <c r="F226" s="231" t="s">
        <v>860</v>
      </c>
      <c r="G226" s="231">
        <v>9</v>
      </c>
    </row>
    <row r="227" spans="2:7" hidden="1" x14ac:dyDescent="0.25">
      <c r="B227" s="267" t="s">
        <v>811</v>
      </c>
      <c r="C227" s="147" t="s">
        <v>83</v>
      </c>
      <c r="D227" s="147" t="s">
        <v>12</v>
      </c>
      <c r="E227" s="232" t="s">
        <v>799</v>
      </c>
      <c r="F227" s="231" t="s">
        <v>861</v>
      </c>
      <c r="G227" s="231">
        <v>6</v>
      </c>
    </row>
    <row r="228" spans="2:7" hidden="1" x14ac:dyDescent="0.25">
      <c r="B228" s="267" t="s">
        <v>811</v>
      </c>
      <c r="C228" s="147" t="s">
        <v>83</v>
      </c>
      <c r="D228" s="147" t="s">
        <v>12</v>
      </c>
      <c r="E228" s="232" t="s">
        <v>799</v>
      </c>
      <c r="F228" s="231" t="s">
        <v>862</v>
      </c>
      <c r="G228" s="231">
        <v>9</v>
      </c>
    </row>
    <row r="229" spans="2:7" hidden="1" x14ac:dyDescent="0.25">
      <c r="B229" s="267" t="s">
        <v>811</v>
      </c>
      <c r="C229" s="147" t="s">
        <v>83</v>
      </c>
      <c r="D229" s="147" t="s">
        <v>12</v>
      </c>
      <c r="E229" s="232" t="s">
        <v>799</v>
      </c>
      <c r="F229" s="231" t="s">
        <v>863</v>
      </c>
      <c r="G229" s="231">
        <v>10</v>
      </c>
    </row>
    <row r="230" spans="2:7" hidden="1" x14ac:dyDescent="0.25">
      <c r="B230" s="267" t="s">
        <v>811</v>
      </c>
      <c r="C230" s="147" t="s">
        <v>83</v>
      </c>
      <c r="D230" s="147" t="s">
        <v>12</v>
      </c>
      <c r="E230" s="232" t="s">
        <v>799</v>
      </c>
      <c r="F230" s="231" t="s">
        <v>864</v>
      </c>
      <c r="G230" s="231">
        <v>8</v>
      </c>
    </row>
    <row r="231" spans="2:7" hidden="1" x14ac:dyDescent="0.25">
      <c r="B231" s="267" t="s">
        <v>811</v>
      </c>
      <c r="C231" s="147" t="s">
        <v>83</v>
      </c>
      <c r="D231" s="147" t="s">
        <v>12</v>
      </c>
      <c r="E231" s="147" t="s">
        <v>798</v>
      </c>
      <c r="F231" s="231" t="s">
        <v>865</v>
      </c>
      <c r="G231" s="231">
        <v>9</v>
      </c>
    </row>
    <row r="232" spans="2:7" hidden="1" x14ac:dyDescent="0.25">
      <c r="B232" s="267" t="s">
        <v>811</v>
      </c>
      <c r="C232" s="147" t="s">
        <v>83</v>
      </c>
      <c r="D232" s="147" t="s">
        <v>12</v>
      </c>
      <c r="E232" s="147" t="s">
        <v>798</v>
      </c>
      <c r="F232" s="231" t="s">
        <v>866</v>
      </c>
      <c r="G232" s="231">
        <v>7</v>
      </c>
    </row>
    <row r="233" spans="2:7" hidden="1" x14ac:dyDescent="0.25">
      <c r="B233" s="267" t="s">
        <v>811</v>
      </c>
      <c r="C233" s="147" t="s">
        <v>83</v>
      </c>
      <c r="D233" s="147" t="s">
        <v>12</v>
      </c>
      <c r="E233" s="147" t="s">
        <v>797</v>
      </c>
      <c r="F233" s="233" t="s">
        <v>867</v>
      </c>
      <c r="G233" s="233">
        <v>0</v>
      </c>
    </row>
    <row r="234" spans="2:7" hidden="1" x14ac:dyDescent="0.25">
      <c r="B234" s="267" t="s">
        <v>811</v>
      </c>
      <c r="C234" s="147" t="s">
        <v>83</v>
      </c>
      <c r="D234" s="147" t="s">
        <v>12</v>
      </c>
      <c r="E234" s="147" t="s">
        <v>797</v>
      </c>
      <c r="F234" s="233" t="s">
        <v>868</v>
      </c>
      <c r="G234" s="233">
        <v>6</v>
      </c>
    </row>
    <row r="235" spans="2:7" hidden="1" x14ac:dyDescent="0.25">
      <c r="B235" s="267" t="s">
        <v>811</v>
      </c>
      <c r="C235" s="147" t="s">
        <v>83</v>
      </c>
      <c r="D235" s="147" t="s">
        <v>12</v>
      </c>
      <c r="E235" s="147" t="s">
        <v>788</v>
      </c>
      <c r="F235" s="233" t="s">
        <v>869</v>
      </c>
      <c r="G235" s="233">
        <v>0</v>
      </c>
    </row>
    <row r="236" spans="2:7" hidden="1" x14ac:dyDescent="0.25">
      <c r="B236" s="267" t="s">
        <v>811</v>
      </c>
      <c r="C236" s="147" t="s">
        <v>83</v>
      </c>
      <c r="D236" s="147" t="s">
        <v>12</v>
      </c>
      <c r="E236" s="147" t="s">
        <v>788</v>
      </c>
      <c r="F236" s="233" t="s">
        <v>870</v>
      </c>
      <c r="G236" s="233">
        <v>5</v>
      </c>
    </row>
    <row r="237" spans="2:7" hidden="1" x14ac:dyDescent="0.25">
      <c r="B237" s="267" t="s">
        <v>811</v>
      </c>
      <c r="C237" s="147" t="s">
        <v>83</v>
      </c>
      <c r="D237" s="147" t="s">
        <v>12</v>
      </c>
      <c r="E237" s="147" t="s">
        <v>787</v>
      </c>
      <c r="F237" s="233" t="s">
        <v>871</v>
      </c>
      <c r="G237" s="233">
        <v>0</v>
      </c>
    </row>
    <row r="238" spans="2:7" hidden="1" x14ac:dyDescent="0.25">
      <c r="B238" s="267" t="s">
        <v>811</v>
      </c>
      <c r="C238" s="147" t="s">
        <v>83</v>
      </c>
      <c r="D238" s="147" t="s">
        <v>12</v>
      </c>
      <c r="E238" s="147" t="s">
        <v>787</v>
      </c>
      <c r="F238" s="233" t="s">
        <v>872</v>
      </c>
      <c r="G238" s="233">
        <v>0</v>
      </c>
    </row>
    <row r="239" spans="2:7" hidden="1" x14ac:dyDescent="0.25">
      <c r="B239" s="267" t="s">
        <v>811</v>
      </c>
      <c r="C239" s="147" t="s">
        <v>83</v>
      </c>
      <c r="D239" s="147" t="s">
        <v>12</v>
      </c>
      <c r="E239" s="147" t="s">
        <v>786</v>
      </c>
      <c r="F239" s="233" t="s">
        <v>873</v>
      </c>
      <c r="G239" s="233">
        <v>0</v>
      </c>
    </row>
    <row r="240" spans="2:7" hidden="1" x14ac:dyDescent="0.25">
      <c r="B240" s="267" t="s">
        <v>811</v>
      </c>
      <c r="C240" s="147" t="s">
        <v>83</v>
      </c>
      <c r="D240" s="147" t="s">
        <v>12</v>
      </c>
      <c r="E240" s="147" t="s">
        <v>786</v>
      </c>
      <c r="F240" s="233" t="s">
        <v>874</v>
      </c>
      <c r="G240" s="233">
        <v>0</v>
      </c>
    </row>
    <row r="241" spans="2:7" hidden="1" x14ac:dyDescent="0.25">
      <c r="B241" s="267" t="s">
        <v>811</v>
      </c>
      <c r="C241" s="147" t="s">
        <v>83</v>
      </c>
      <c r="D241" s="147" t="s">
        <v>34</v>
      </c>
      <c r="E241" s="232" t="s">
        <v>799</v>
      </c>
      <c r="F241" s="231" t="s">
        <v>875</v>
      </c>
      <c r="G241" s="231">
        <v>10</v>
      </c>
    </row>
    <row r="242" spans="2:7" hidden="1" x14ac:dyDescent="0.25">
      <c r="B242" s="267" t="s">
        <v>811</v>
      </c>
      <c r="C242" s="147" t="s">
        <v>83</v>
      </c>
      <c r="D242" s="147" t="s">
        <v>34</v>
      </c>
      <c r="E242" s="232" t="s">
        <v>799</v>
      </c>
      <c r="F242" s="231" t="s">
        <v>876</v>
      </c>
      <c r="G242" s="231">
        <v>10</v>
      </c>
    </row>
    <row r="243" spans="2:7" hidden="1" x14ac:dyDescent="0.25">
      <c r="B243" s="267" t="s">
        <v>811</v>
      </c>
      <c r="C243" s="147" t="s">
        <v>83</v>
      </c>
      <c r="D243" s="147" t="s">
        <v>41</v>
      </c>
      <c r="E243" s="232" t="s">
        <v>799</v>
      </c>
      <c r="F243" s="231" t="s">
        <v>877</v>
      </c>
      <c r="G243" s="231">
        <v>5</v>
      </c>
    </row>
    <row r="244" spans="2:7" hidden="1" x14ac:dyDescent="0.25">
      <c r="B244" s="267" t="s">
        <v>811</v>
      </c>
      <c r="C244" s="147" t="s">
        <v>83</v>
      </c>
      <c r="D244" s="147" t="s">
        <v>46</v>
      </c>
      <c r="E244" s="232" t="s">
        <v>799</v>
      </c>
      <c r="F244" s="231" t="s">
        <v>878</v>
      </c>
      <c r="G244" s="231">
        <v>4</v>
      </c>
    </row>
    <row r="245" spans="2:7" hidden="1" x14ac:dyDescent="0.25">
      <c r="B245" s="267" t="s">
        <v>811</v>
      </c>
      <c r="C245" s="147" t="s">
        <v>114</v>
      </c>
      <c r="D245" s="147" t="s">
        <v>12</v>
      </c>
      <c r="E245" s="232" t="s">
        <v>799</v>
      </c>
      <c r="F245" s="231" t="s">
        <v>879</v>
      </c>
      <c r="G245" s="231">
        <v>10</v>
      </c>
    </row>
    <row r="246" spans="2:7" hidden="1" x14ac:dyDescent="0.25">
      <c r="B246" s="267" t="s">
        <v>811</v>
      </c>
      <c r="C246" s="147" t="s">
        <v>114</v>
      </c>
      <c r="D246" s="147" t="s">
        <v>12</v>
      </c>
      <c r="E246" s="232" t="s">
        <v>799</v>
      </c>
      <c r="F246" s="231" t="s">
        <v>880</v>
      </c>
      <c r="G246" s="231">
        <v>10</v>
      </c>
    </row>
    <row r="247" spans="2:7" hidden="1" x14ac:dyDescent="0.25">
      <c r="B247" s="267" t="s">
        <v>811</v>
      </c>
      <c r="C247" s="147" t="s">
        <v>114</v>
      </c>
      <c r="D247" s="147" t="s">
        <v>12</v>
      </c>
      <c r="E247" s="232" t="s">
        <v>799</v>
      </c>
      <c r="F247" s="231" t="s">
        <v>881</v>
      </c>
      <c r="G247" s="231">
        <v>9</v>
      </c>
    </row>
    <row r="248" spans="2:7" hidden="1" x14ac:dyDescent="0.25">
      <c r="B248" s="267" t="s">
        <v>811</v>
      </c>
      <c r="C248" s="147" t="s">
        <v>114</v>
      </c>
      <c r="D248" s="147" t="s">
        <v>12</v>
      </c>
      <c r="E248" s="232" t="s">
        <v>799</v>
      </c>
      <c r="F248" s="231" t="s">
        <v>882</v>
      </c>
      <c r="G248" s="231">
        <v>10</v>
      </c>
    </row>
    <row r="249" spans="2:7" hidden="1" x14ac:dyDescent="0.25">
      <c r="B249" s="267" t="s">
        <v>811</v>
      </c>
      <c r="C249" s="147" t="s">
        <v>114</v>
      </c>
      <c r="D249" s="147" t="s">
        <v>12</v>
      </c>
      <c r="E249" s="232" t="s">
        <v>799</v>
      </c>
      <c r="F249" s="231" t="s">
        <v>883</v>
      </c>
      <c r="G249" s="231">
        <v>9</v>
      </c>
    </row>
    <row r="250" spans="2:7" hidden="1" x14ac:dyDescent="0.25">
      <c r="B250" s="267" t="s">
        <v>811</v>
      </c>
      <c r="C250" s="147" t="s">
        <v>114</v>
      </c>
      <c r="D250" s="147" t="s">
        <v>12</v>
      </c>
      <c r="E250" s="232" t="s">
        <v>799</v>
      </c>
      <c r="F250" s="231" t="s">
        <v>884</v>
      </c>
      <c r="G250" s="231">
        <v>9</v>
      </c>
    </row>
    <row r="251" spans="2:7" hidden="1" x14ac:dyDescent="0.25">
      <c r="B251" s="267" t="s">
        <v>811</v>
      </c>
      <c r="C251" s="147" t="s">
        <v>114</v>
      </c>
      <c r="D251" s="147" t="s">
        <v>12</v>
      </c>
      <c r="E251" s="232" t="s">
        <v>799</v>
      </c>
      <c r="F251" s="231" t="s">
        <v>885</v>
      </c>
      <c r="G251" s="231">
        <v>9</v>
      </c>
    </row>
    <row r="252" spans="2:7" hidden="1" x14ac:dyDescent="0.25">
      <c r="B252" s="267" t="s">
        <v>811</v>
      </c>
      <c r="C252" s="147" t="s">
        <v>114</v>
      </c>
      <c r="D252" s="147" t="s">
        <v>12</v>
      </c>
      <c r="E252" s="147" t="s">
        <v>798</v>
      </c>
      <c r="F252" s="231" t="s">
        <v>886</v>
      </c>
      <c r="G252" s="231">
        <v>8</v>
      </c>
    </row>
    <row r="253" spans="2:7" hidden="1" x14ac:dyDescent="0.25">
      <c r="B253" s="267" t="s">
        <v>811</v>
      </c>
      <c r="C253" s="147" t="s">
        <v>114</v>
      </c>
      <c r="D253" s="147" t="s">
        <v>12</v>
      </c>
      <c r="E253" s="147" t="s">
        <v>797</v>
      </c>
      <c r="F253" s="233" t="s">
        <v>887</v>
      </c>
      <c r="G253" s="233">
        <v>9</v>
      </c>
    </row>
    <row r="254" spans="2:7" hidden="1" x14ac:dyDescent="0.25">
      <c r="B254" s="267" t="s">
        <v>811</v>
      </c>
      <c r="C254" s="147" t="s">
        <v>114</v>
      </c>
      <c r="D254" s="147" t="s">
        <v>12</v>
      </c>
      <c r="E254" s="147" t="s">
        <v>797</v>
      </c>
      <c r="F254" s="233" t="s">
        <v>888</v>
      </c>
      <c r="G254" s="233">
        <v>7</v>
      </c>
    </row>
    <row r="255" spans="2:7" hidden="1" x14ac:dyDescent="0.25">
      <c r="B255" s="267" t="s">
        <v>811</v>
      </c>
      <c r="C255" s="147" t="s">
        <v>114</v>
      </c>
      <c r="D255" s="147" t="s">
        <v>12</v>
      </c>
      <c r="E255" s="147" t="s">
        <v>788</v>
      </c>
      <c r="F255" s="233" t="s">
        <v>889</v>
      </c>
      <c r="G255" s="233">
        <v>0</v>
      </c>
    </row>
    <row r="256" spans="2:7" hidden="1" x14ac:dyDescent="0.25">
      <c r="B256" s="267" t="s">
        <v>811</v>
      </c>
      <c r="C256" s="147" t="s">
        <v>114</v>
      </c>
      <c r="D256" s="147" t="s">
        <v>12</v>
      </c>
      <c r="E256" s="147" t="s">
        <v>788</v>
      </c>
      <c r="F256" s="233" t="s">
        <v>890</v>
      </c>
      <c r="G256" s="233">
        <v>0</v>
      </c>
    </row>
    <row r="257" spans="2:7" hidden="1" x14ac:dyDescent="0.25">
      <c r="B257" s="267" t="s">
        <v>811</v>
      </c>
      <c r="C257" s="147" t="s">
        <v>114</v>
      </c>
      <c r="D257" s="147" t="s">
        <v>12</v>
      </c>
      <c r="E257" s="147" t="s">
        <v>787</v>
      </c>
      <c r="F257" s="233" t="s">
        <v>891</v>
      </c>
      <c r="G257" s="233">
        <v>0</v>
      </c>
    </row>
    <row r="258" spans="2:7" hidden="1" x14ac:dyDescent="0.25">
      <c r="B258" s="267" t="s">
        <v>811</v>
      </c>
      <c r="C258" s="147" t="s">
        <v>114</v>
      </c>
      <c r="D258" s="147" t="s">
        <v>12</v>
      </c>
      <c r="E258" s="147" t="s">
        <v>787</v>
      </c>
      <c r="F258" s="233" t="s">
        <v>892</v>
      </c>
      <c r="G258" s="233">
        <v>0</v>
      </c>
    </row>
    <row r="259" spans="2:7" hidden="1" x14ac:dyDescent="0.25">
      <c r="B259" s="267" t="s">
        <v>811</v>
      </c>
      <c r="C259" s="147" t="s">
        <v>114</v>
      </c>
      <c r="D259" s="147" t="s">
        <v>12</v>
      </c>
      <c r="E259" s="147" t="s">
        <v>786</v>
      </c>
      <c r="F259" s="233" t="s">
        <v>893</v>
      </c>
      <c r="G259" s="233">
        <v>0</v>
      </c>
    </row>
    <row r="260" spans="2:7" hidden="1" x14ac:dyDescent="0.25">
      <c r="B260" s="267" t="s">
        <v>811</v>
      </c>
      <c r="C260" s="147" t="s">
        <v>114</v>
      </c>
      <c r="D260" s="147" t="s">
        <v>12</v>
      </c>
      <c r="E260" s="147" t="s">
        <v>786</v>
      </c>
      <c r="F260" s="233" t="s">
        <v>894</v>
      </c>
      <c r="G260" s="233">
        <v>0</v>
      </c>
    </row>
    <row r="261" spans="2:7" hidden="1" x14ac:dyDescent="0.25">
      <c r="B261" s="267" t="s">
        <v>811</v>
      </c>
      <c r="C261" s="147" t="s">
        <v>114</v>
      </c>
      <c r="D261" s="147" t="s">
        <v>34</v>
      </c>
      <c r="E261" s="232" t="s">
        <v>799</v>
      </c>
      <c r="F261" s="234" t="s">
        <v>895</v>
      </c>
      <c r="G261" s="234">
        <v>10</v>
      </c>
    </row>
    <row r="262" spans="2:7" hidden="1" x14ac:dyDescent="0.25">
      <c r="B262" s="267" t="s">
        <v>811</v>
      </c>
      <c r="C262" s="147" t="s">
        <v>114</v>
      </c>
      <c r="D262" s="147" t="s">
        <v>34</v>
      </c>
      <c r="E262" s="232" t="s">
        <v>799</v>
      </c>
      <c r="F262" s="234" t="s">
        <v>896</v>
      </c>
      <c r="G262" s="234">
        <v>10</v>
      </c>
    </row>
    <row r="263" spans="2:7" hidden="1" x14ac:dyDescent="0.25">
      <c r="B263" s="267" t="s">
        <v>811</v>
      </c>
      <c r="C263" s="147" t="s">
        <v>114</v>
      </c>
      <c r="D263" s="147" t="s">
        <v>41</v>
      </c>
      <c r="E263" s="232" t="s">
        <v>799</v>
      </c>
      <c r="F263" s="234" t="s">
        <v>897</v>
      </c>
      <c r="G263" s="234">
        <v>5</v>
      </c>
    </row>
    <row r="264" spans="2:7" hidden="1" x14ac:dyDescent="0.25">
      <c r="B264" s="267" t="s">
        <v>811</v>
      </c>
      <c r="C264" s="147" t="s">
        <v>114</v>
      </c>
      <c r="D264" s="147" t="s">
        <v>41</v>
      </c>
      <c r="E264" s="232" t="s">
        <v>799</v>
      </c>
      <c r="F264" s="234" t="s">
        <v>898</v>
      </c>
      <c r="G264" s="234">
        <v>5</v>
      </c>
    </row>
    <row r="265" spans="2:7" hidden="1" x14ac:dyDescent="0.25">
      <c r="B265" s="267" t="s">
        <v>811</v>
      </c>
      <c r="C265" s="147" t="s">
        <v>114</v>
      </c>
      <c r="D265" s="147" t="s">
        <v>46</v>
      </c>
      <c r="E265" s="232" t="s">
        <v>799</v>
      </c>
      <c r="F265" s="234" t="s">
        <v>899</v>
      </c>
      <c r="G265" s="234">
        <v>4</v>
      </c>
    </row>
    <row r="266" spans="2:7" hidden="1" x14ac:dyDescent="0.25">
      <c r="B266" s="258" t="s">
        <v>911</v>
      </c>
      <c r="C266" s="259" t="s">
        <v>11</v>
      </c>
      <c r="D266" s="259" t="s">
        <v>12</v>
      </c>
      <c r="E266" s="260" t="s">
        <v>799</v>
      </c>
      <c r="F266" s="261" t="s">
        <v>812</v>
      </c>
      <c r="G266" s="259">
        <v>10</v>
      </c>
    </row>
    <row r="267" spans="2:7" hidden="1" x14ac:dyDescent="0.25">
      <c r="B267" s="258" t="s">
        <v>911</v>
      </c>
      <c r="C267" s="262" t="s">
        <v>11</v>
      </c>
      <c r="D267" s="262" t="s">
        <v>12</v>
      </c>
      <c r="E267" s="263" t="s">
        <v>799</v>
      </c>
      <c r="F267" s="261" t="s">
        <v>813</v>
      </c>
      <c r="G267" s="259">
        <v>10</v>
      </c>
    </row>
    <row r="268" spans="2:7" hidden="1" x14ac:dyDescent="0.25">
      <c r="B268" s="258" t="s">
        <v>911</v>
      </c>
      <c r="C268" s="262" t="s">
        <v>11</v>
      </c>
      <c r="D268" s="262" t="s">
        <v>12</v>
      </c>
      <c r="E268" s="263" t="s">
        <v>799</v>
      </c>
      <c r="F268" s="261" t="s">
        <v>814</v>
      </c>
      <c r="G268" s="259">
        <v>10</v>
      </c>
    </row>
    <row r="269" spans="2:7" hidden="1" x14ac:dyDescent="0.25">
      <c r="B269" s="258" t="s">
        <v>911</v>
      </c>
      <c r="C269" s="262" t="s">
        <v>11</v>
      </c>
      <c r="D269" s="262" t="s">
        <v>12</v>
      </c>
      <c r="E269" s="263" t="s">
        <v>799</v>
      </c>
      <c r="F269" s="261" t="s">
        <v>815</v>
      </c>
      <c r="G269" s="259">
        <v>9</v>
      </c>
    </row>
    <row r="270" spans="2:7" hidden="1" x14ac:dyDescent="0.25">
      <c r="B270" s="258" t="s">
        <v>911</v>
      </c>
      <c r="C270" s="262" t="s">
        <v>11</v>
      </c>
      <c r="D270" s="262" t="s">
        <v>12</v>
      </c>
      <c r="E270" s="263" t="s">
        <v>799</v>
      </c>
      <c r="F270" s="261" t="s">
        <v>816</v>
      </c>
      <c r="G270" s="259">
        <v>9</v>
      </c>
    </row>
    <row r="271" spans="2:7" hidden="1" x14ac:dyDescent="0.25">
      <c r="B271" s="258" t="s">
        <v>911</v>
      </c>
      <c r="C271" s="262" t="s">
        <v>11</v>
      </c>
      <c r="D271" s="262" t="s">
        <v>12</v>
      </c>
      <c r="E271" s="263" t="s">
        <v>799</v>
      </c>
      <c r="F271" s="261" t="s">
        <v>817</v>
      </c>
      <c r="G271" s="259">
        <v>9</v>
      </c>
    </row>
    <row r="272" spans="2:7" hidden="1" x14ac:dyDescent="0.25">
      <c r="B272" s="258" t="s">
        <v>911</v>
      </c>
      <c r="C272" s="262" t="s">
        <v>11</v>
      </c>
      <c r="D272" s="262" t="s">
        <v>12</v>
      </c>
      <c r="E272" s="263" t="s">
        <v>799</v>
      </c>
      <c r="F272" s="261" t="s">
        <v>818</v>
      </c>
      <c r="G272" s="259">
        <v>9</v>
      </c>
    </row>
    <row r="273" spans="2:7" hidden="1" x14ac:dyDescent="0.25">
      <c r="B273" s="258" t="s">
        <v>911</v>
      </c>
      <c r="C273" s="262" t="s">
        <v>11</v>
      </c>
      <c r="D273" s="262" t="s">
        <v>12</v>
      </c>
      <c r="E273" s="262" t="s">
        <v>798</v>
      </c>
      <c r="F273" s="261" t="s">
        <v>819</v>
      </c>
      <c r="G273" s="259">
        <v>9</v>
      </c>
    </row>
    <row r="274" spans="2:7" hidden="1" x14ac:dyDescent="0.25">
      <c r="B274" s="258" t="s">
        <v>911</v>
      </c>
      <c r="C274" s="262" t="s">
        <v>11</v>
      </c>
      <c r="D274" s="262" t="s">
        <v>12</v>
      </c>
      <c r="E274" s="262" t="s">
        <v>797</v>
      </c>
      <c r="F274" s="264" t="s">
        <v>820</v>
      </c>
      <c r="G274" s="262">
        <v>5</v>
      </c>
    </row>
    <row r="275" spans="2:7" hidden="1" x14ac:dyDescent="0.25">
      <c r="B275" s="258" t="s">
        <v>911</v>
      </c>
      <c r="C275" s="262" t="s">
        <v>11</v>
      </c>
      <c r="D275" s="262" t="s">
        <v>12</v>
      </c>
      <c r="E275" s="262" t="s">
        <v>797</v>
      </c>
      <c r="F275" s="264" t="s">
        <v>821</v>
      </c>
      <c r="G275" s="262">
        <v>6</v>
      </c>
    </row>
    <row r="276" spans="2:7" hidden="1" x14ac:dyDescent="0.25">
      <c r="B276" s="258" t="s">
        <v>911</v>
      </c>
      <c r="C276" s="262" t="s">
        <v>11</v>
      </c>
      <c r="D276" s="262" t="s">
        <v>12</v>
      </c>
      <c r="E276" s="262" t="s">
        <v>788</v>
      </c>
      <c r="F276" s="264" t="s">
        <v>822</v>
      </c>
      <c r="G276" s="262">
        <v>7</v>
      </c>
    </row>
    <row r="277" spans="2:7" hidden="1" x14ac:dyDescent="0.25">
      <c r="B277" s="258" t="s">
        <v>911</v>
      </c>
      <c r="C277" s="262" t="s">
        <v>11</v>
      </c>
      <c r="D277" s="262" t="s">
        <v>12</v>
      </c>
      <c r="E277" s="262" t="s">
        <v>788</v>
      </c>
      <c r="F277" s="264" t="s">
        <v>823</v>
      </c>
      <c r="G277" s="262">
        <v>5</v>
      </c>
    </row>
    <row r="278" spans="2:7" hidden="1" x14ac:dyDescent="0.25">
      <c r="B278" s="258" t="s">
        <v>911</v>
      </c>
      <c r="C278" s="262" t="s">
        <v>11</v>
      </c>
      <c r="D278" s="262" t="s">
        <v>12</v>
      </c>
      <c r="E278" s="262" t="s">
        <v>787</v>
      </c>
      <c r="F278" s="264" t="s">
        <v>824</v>
      </c>
      <c r="G278" s="262">
        <v>0</v>
      </c>
    </row>
    <row r="279" spans="2:7" hidden="1" x14ac:dyDescent="0.25">
      <c r="B279" s="258" t="s">
        <v>911</v>
      </c>
      <c r="C279" s="262" t="s">
        <v>11</v>
      </c>
      <c r="D279" s="262" t="s">
        <v>12</v>
      </c>
      <c r="E279" s="262" t="s">
        <v>787</v>
      </c>
      <c r="F279" s="264" t="s">
        <v>825</v>
      </c>
      <c r="G279" s="262">
        <v>0</v>
      </c>
    </row>
    <row r="280" spans="2:7" hidden="1" x14ac:dyDescent="0.25">
      <c r="B280" s="258" t="s">
        <v>911</v>
      </c>
      <c r="C280" s="262" t="s">
        <v>11</v>
      </c>
      <c r="D280" s="262" t="s">
        <v>12</v>
      </c>
      <c r="E280" s="262" t="s">
        <v>786</v>
      </c>
      <c r="F280" s="264" t="s">
        <v>826</v>
      </c>
      <c r="G280" s="262">
        <v>0</v>
      </c>
    </row>
    <row r="281" spans="2:7" hidden="1" x14ac:dyDescent="0.25">
      <c r="B281" s="258" t="s">
        <v>911</v>
      </c>
      <c r="C281" s="262" t="s">
        <v>11</v>
      </c>
      <c r="D281" s="262" t="s">
        <v>12</v>
      </c>
      <c r="E281" s="262" t="s">
        <v>786</v>
      </c>
      <c r="F281" s="264" t="s">
        <v>827</v>
      </c>
      <c r="G281" s="262">
        <v>0</v>
      </c>
    </row>
    <row r="282" spans="2:7" hidden="1" x14ac:dyDescent="0.25">
      <c r="B282" s="258" t="s">
        <v>911</v>
      </c>
      <c r="C282" s="262" t="s">
        <v>11</v>
      </c>
      <c r="D282" s="262" t="s">
        <v>34</v>
      </c>
      <c r="E282" s="263" t="s">
        <v>799</v>
      </c>
      <c r="F282" s="261" t="s">
        <v>828</v>
      </c>
      <c r="G282" s="259">
        <v>10</v>
      </c>
    </row>
    <row r="283" spans="2:7" hidden="1" x14ac:dyDescent="0.25">
      <c r="B283" s="258" t="s">
        <v>911</v>
      </c>
      <c r="C283" s="262" t="s">
        <v>11</v>
      </c>
      <c r="D283" s="262" t="s">
        <v>34</v>
      </c>
      <c r="E283" s="263" t="s">
        <v>799</v>
      </c>
      <c r="F283" s="264" t="s">
        <v>829</v>
      </c>
      <c r="G283" s="262">
        <v>10</v>
      </c>
    </row>
    <row r="284" spans="2:7" hidden="1" x14ac:dyDescent="0.25">
      <c r="B284" s="258" t="s">
        <v>911</v>
      </c>
      <c r="C284" s="262" t="s">
        <v>11</v>
      </c>
      <c r="D284" s="262" t="s">
        <v>41</v>
      </c>
      <c r="E284" s="263" t="s">
        <v>799</v>
      </c>
      <c r="F284" s="264" t="s">
        <v>830</v>
      </c>
      <c r="G284" s="262">
        <v>5</v>
      </c>
    </row>
    <row r="285" spans="2:7" hidden="1" x14ac:dyDescent="0.25">
      <c r="B285" s="258" t="s">
        <v>911</v>
      </c>
      <c r="C285" s="262" t="s">
        <v>11</v>
      </c>
      <c r="D285" s="262" t="s">
        <v>41</v>
      </c>
      <c r="E285" s="263" t="s">
        <v>799</v>
      </c>
      <c r="F285" s="264" t="s">
        <v>831</v>
      </c>
      <c r="G285" s="262">
        <v>5</v>
      </c>
    </row>
    <row r="286" spans="2:7" hidden="1" x14ac:dyDescent="0.25">
      <c r="B286" s="258" t="s">
        <v>911</v>
      </c>
      <c r="C286" s="262" t="s">
        <v>11</v>
      </c>
      <c r="D286" s="262" t="s">
        <v>41</v>
      </c>
      <c r="E286" s="263" t="s">
        <v>799</v>
      </c>
      <c r="F286" s="264" t="s">
        <v>832</v>
      </c>
      <c r="G286" s="262">
        <v>5</v>
      </c>
    </row>
    <row r="287" spans="2:7" hidden="1" x14ac:dyDescent="0.25">
      <c r="B287" s="258" t="s">
        <v>911</v>
      </c>
      <c r="C287" s="262" t="s">
        <v>11</v>
      </c>
      <c r="D287" s="262" t="s">
        <v>46</v>
      </c>
      <c r="E287" s="263" t="s">
        <v>799</v>
      </c>
      <c r="F287" s="264" t="s">
        <v>833</v>
      </c>
      <c r="G287" s="262">
        <v>4</v>
      </c>
    </row>
    <row r="288" spans="2:7" hidden="1" x14ac:dyDescent="0.25">
      <c r="B288" s="258" t="s">
        <v>911</v>
      </c>
      <c r="C288" s="262" t="s">
        <v>48</v>
      </c>
      <c r="D288" s="262" t="s">
        <v>12</v>
      </c>
      <c r="E288" s="263" t="s">
        <v>799</v>
      </c>
      <c r="F288" s="264" t="s">
        <v>834</v>
      </c>
      <c r="G288" s="262">
        <v>10</v>
      </c>
    </row>
    <row r="289" spans="2:7" hidden="1" x14ac:dyDescent="0.25">
      <c r="B289" s="258" t="s">
        <v>911</v>
      </c>
      <c r="C289" s="262" t="s">
        <v>48</v>
      </c>
      <c r="D289" s="262" t="s">
        <v>12</v>
      </c>
      <c r="E289" s="263" t="s">
        <v>799</v>
      </c>
      <c r="F289" s="261" t="s">
        <v>835</v>
      </c>
      <c r="G289" s="259">
        <v>10</v>
      </c>
    </row>
    <row r="290" spans="2:7" hidden="1" x14ac:dyDescent="0.25">
      <c r="B290" s="258" t="s">
        <v>911</v>
      </c>
      <c r="C290" s="262" t="s">
        <v>48</v>
      </c>
      <c r="D290" s="262" t="s">
        <v>12</v>
      </c>
      <c r="E290" s="263" t="s">
        <v>799</v>
      </c>
      <c r="F290" s="261" t="s">
        <v>836</v>
      </c>
      <c r="G290" s="259">
        <v>10</v>
      </c>
    </row>
    <row r="291" spans="2:7" hidden="1" x14ac:dyDescent="0.25">
      <c r="B291" s="258" t="s">
        <v>911</v>
      </c>
      <c r="C291" s="262" t="s">
        <v>48</v>
      </c>
      <c r="D291" s="262" t="s">
        <v>12</v>
      </c>
      <c r="E291" s="263" t="s">
        <v>799</v>
      </c>
      <c r="F291" s="261" t="s">
        <v>837</v>
      </c>
      <c r="G291" s="259">
        <v>10</v>
      </c>
    </row>
    <row r="292" spans="2:7" hidden="1" x14ac:dyDescent="0.25">
      <c r="B292" s="258" t="s">
        <v>911</v>
      </c>
      <c r="C292" s="262" t="s">
        <v>48</v>
      </c>
      <c r="D292" s="262" t="s">
        <v>12</v>
      </c>
      <c r="E292" s="263" t="s">
        <v>799</v>
      </c>
      <c r="F292" s="261" t="s">
        <v>838</v>
      </c>
      <c r="G292" s="259">
        <v>9</v>
      </c>
    </row>
    <row r="293" spans="2:7" hidden="1" x14ac:dyDescent="0.25">
      <c r="B293" s="258" t="s">
        <v>911</v>
      </c>
      <c r="C293" s="262" t="s">
        <v>48</v>
      </c>
      <c r="D293" s="262" t="s">
        <v>12</v>
      </c>
      <c r="E293" s="263" t="s">
        <v>799</v>
      </c>
      <c r="F293" s="261" t="s">
        <v>839</v>
      </c>
      <c r="G293" s="259">
        <v>10</v>
      </c>
    </row>
    <row r="294" spans="2:7" hidden="1" x14ac:dyDescent="0.25">
      <c r="B294" s="258" t="s">
        <v>911</v>
      </c>
      <c r="C294" s="262" t="s">
        <v>48</v>
      </c>
      <c r="D294" s="262" t="s">
        <v>12</v>
      </c>
      <c r="E294" s="263" t="s">
        <v>799</v>
      </c>
      <c r="F294" s="261" t="s">
        <v>840</v>
      </c>
      <c r="G294" s="259">
        <v>9</v>
      </c>
    </row>
    <row r="295" spans="2:7" hidden="1" x14ac:dyDescent="0.25">
      <c r="B295" s="258" t="s">
        <v>911</v>
      </c>
      <c r="C295" s="262" t="s">
        <v>48</v>
      </c>
      <c r="D295" s="262" t="s">
        <v>12</v>
      </c>
      <c r="E295" s="263" t="s">
        <v>799</v>
      </c>
      <c r="F295" s="261" t="s">
        <v>841</v>
      </c>
      <c r="G295" s="259">
        <v>7</v>
      </c>
    </row>
    <row r="296" spans="2:7" hidden="1" x14ac:dyDescent="0.25">
      <c r="B296" s="258" t="s">
        <v>911</v>
      </c>
      <c r="C296" s="262" t="s">
        <v>48</v>
      </c>
      <c r="D296" s="262" t="s">
        <v>12</v>
      </c>
      <c r="E296" s="262" t="s">
        <v>798</v>
      </c>
      <c r="F296" s="261" t="s">
        <v>842</v>
      </c>
      <c r="G296" s="259">
        <v>9</v>
      </c>
    </row>
    <row r="297" spans="2:7" hidden="1" x14ac:dyDescent="0.25">
      <c r="B297" s="258" t="s">
        <v>911</v>
      </c>
      <c r="C297" s="262" t="s">
        <v>48</v>
      </c>
      <c r="D297" s="262" t="s">
        <v>12</v>
      </c>
      <c r="E297" s="262" t="s">
        <v>798</v>
      </c>
      <c r="F297" s="261" t="s">
        <v>843</v>
      </c>
      <c r="G297" s="259">
        <v>5</v>
      </c>
    </row>
    <row r="298" spans="2:7" hidden="1" x14ac:dyDescent="0.25">
      <c r="B298" s="258" t="s">
        <v>911</v>
      </c>
      <c r="C298" s="262" t="s">
        <v>48</v>
      </c>
      <c r="D298" s="262" t="s">
        <v>12</v>
      </c>
      <c r="E298" s="262" t="s">
        <v>797</v>
      </c>
      <c r="F298" s="264" t="s">
        <v>844</v>
      </c>
      <c r="G298" s="262">
        <v>9</v>
      </c>
    </row>
    <row r="299" spans="2:7" hidden="1" x14ac:dyDescent="0.25">
      <c r="B299" s="258" t="s">
        <v>911</v>
      </c>
      <c r="C299" s="262" t="s">
        <v>48</v>
      </c>
      <c r="D299" s="262" t="s">
        <v>12</v>
      </c>
      <c r="E299" s="262" t="s">
        <v>797</v>
      </c>
      <c r="F299" s="264" t="s">
        <v>845</v>
      </c>
      <c r="G299" s="262">
        <v>6</v>
      </c>
    </row>
    <row r="300" spans="2:7" hidden="1" x14ac:dyDescent="0.25">
      <c r="B300" s="258" t="s">
        <v>911</v>
      </c>
      <c r="C300" s="262" t="s">
        <v>48</v>
      </c>
      <c r="D300" s="262" t="s">
        <v>12</v>
      </c>
      <c r="E300" s="262" t="s">
        <v>788</v>
      </c>
      <c r="F300" s="264" t="s">
        <v>846</v>
      </c>
      <c r="G300" s="262">
        <v>0</v>
      </c>
    </row>
    <row r="301" spans="2:7" hidden="1" x14ac:dyDescent="0.25">
      <c r="B301" s="258" t="s">
        <v>911</v>
      </c>
      <c r="C301" s="262" t="s">
        <v>48</v>
      </c>
      <c r="D301" s="262" t="s">
        <v>12</v>
      </c>
      <c r="E301" s="262" t="s">
        <v>788</v>
      </c>
      <c r="F301" s="264" t="s">
        <v>847</v>
      </c>
      <c r="G301" s="262">
        <v>5</v>
      </c>
    </row>
    <row r="302" spans="2:7" hidden="1" x14ac:dyDescent="0.25">
      <c r="B302" s="258" t="s">
        <v>911</v>
      </c>
      <c r="C302" s="262" t="s">
        <v>48</v>
      </c>
      <c r="D302" s="262" t="s">
        <v>12</v>
      </c>
      <c r="E302" s="262" t="s">
        <v>787</v>
      </c>
      <c r="F302" s="264" t="s">
        <v>848</v>
      </c>
      <c r="G302" s="262">
        <v>0</v>
      </c>
    </row>
    <row r="303" spans="2:7" hidden="1" x14ac:dyDescent="0.25">
      <c r="B303" s="258" t="s">
        <v>911</v>
      </c>
      <c r="C303" s="262" t="s">
        <v>48</v>
      </c>
      <c r="D303" s="262" t="s">
        <v>12</v>
      </c>
      <c r="E303" s="262" t="s">
        <v>787</v>
      </c>
      <c r="F303" s="264" t="s">
        <v>849</v>
      </c>
      <c r="G303" s="262">
        <v>0</v>
      </c>
    </row>
    <row r="304" spans="2:7" hidden="1" x14ac:dyDescent="0.25">
      <c r="B304" s="258" t="s">
        <v>911</v>
      </c>
      <c r="C304" s="262" t="s">
        <v>48</v>
      </c>
      <c r="D304" s="262" t="s">
        <v>12</v>
      </c>
      <c r="E304" s="262" t="s">
        <v>786</v>
      </c>
      <c r="F304" s="264" t="s">
        <v>850</v>
      </c>
      <c r="G304" s="262">
        <v>0</v>
      </c>
    </row>
    <row r="305" spans="2:7" hidden="1" x14ac:dyDescent="0.25">
      <c r="B305" s="258" t="s">
        <v>911</v>
      </c>
      <c r="C305" s="262" t="s">
        <v>48</v>
      </c>
      <c r="D305" s="262" t="s">
        <v>12</v>
      </c>
      <c r="E305" s="262" t="s">
        <v>786</v>
      </c>
      <c r="F305" s="264" t="s">
        <v>851</v>
      </c>
      <c r="G305" s="262">
        <v>0</v>
      </c>
    </row>
    <row r="306" spans="2:7" hidden="1" x14ac:dyDescent="0.25">
      <c r="B306" s="258" t="s">
        <v>911</v>
      </c>
      <c r="C306" s="262" t="s">
        <v>48</v>
      </c>
      <c r="D306" s="262" t="s">
        <v>34</v>
      </c>
      <c r="E306" s="263" t="s">
        <v>799</v>
      </c>
      <c r="F306" s="261" t="s">
        <v>852</v>
      </c>
      <c r="G306" s="259">
        <v>10</v>
      </c>
    </row>
    <row r="307" spans="2:7" hidden="1" x14ac:dyDescent="0.25">
      <c r="B307" s="258" t="s">
        <v>911</v>
      </c>
      <c r="C307" s="262" t="s">
        <v>48</v>
      </c>
      <c r="D307" s="262" t="s">
        <v>34</v>
      </c>
      <c r="E307" s="263" t="s">
        <v>799</v>
      </c>
      <c r="F307" s="261" t="s">
        <v>853</v>
      </c>
      <c r="G307" s="259">
        <v>10</v>
      </c>
    </row>
    <row r="308" spans="2:7" hidden="1" x14ac:dyDescent="0.25">
      <c r="B308" s="258" t="s">
        <v>911</v>
      </c>
      <c r="C308" s="262" t="s">
        <v>48</v>
      </c>
      <c r="D308" s="262" t="s">
        <v>41</v>
      </c>
      <c r="E308" s="263" t="s">
        <v>799</v>
      </c>
      <c r="F308" s="261" t="s">
        <v>854</v>
      </c>
      <c r="G308" s="259">
        <v>5</v>
      </c>
    </row>
    <row r="309" spans="2:7" hidden="1" x14ac:dyDescent="0.25">
      <c r="B309" s="258" t="s">
        <v>911</v>
      </c>
      <c r="C309" s="262" t="s">
        <v>48</v>
      </c>
      <c r="D309" s="262" t="s">
        <v>41</v>
      </c>
      <c r="E309" s="263" t="s">
        <v>799</v>
      </c>
      <c r="F309" s="261" t="s">
        <v>855</v>
      </c>
      <c r="G309" s="259">
        <v>5</v>
      </c>
    </row>
    <row r="310" spans="2:7" hidden="1" x14ac:dyDescent="0.25">
      <c r="B310" s="258" t="s">
        <v>911</v>
      </c>
      <c r="C310" s="262" t="s">
        <v>48</v>
      </c>
      <c r="D310" s="262" t="s">
        <v>46</v>
      </c>
      <c r="E310" s="263" t="s">
        <v>799</v>
      </c>
      <c r="F310" s="261" t="s">
        <v>856</v>
      </c>
      <c r="G310" s="259">
        <v>4</v>
      </c>
    </row>
    <row r="311" spans="2:7" hidden="1" x14ac:dyDescent="0.25">
      <c r="B311" s="258" t="s">
        <v>911</v>
      </c>
      <c r="C311" s="262" t="s">
        <v>83</v>
      </c>
      <c r="D311" s="262" t="s">
        <v>12</v>
      </c>
      <c r="E311" s="263" t="s">
        <v>799</v>
      </c>
      <c r="F311" s="261" t="s">
        <v>857</v>
      </c>
      <c r="G311" s="259">
        <v>10</v>
      </c>
    </row>
    <row r="312" spans="2:7" hidden="1" x14ac:dyDescent="0.25">
      <c r="B312" s="258" t="s">
        <v>911</v>
      </c>
      <c r="C312" s="262" t="s">
        <v>83</v>
      </c>
      <c r="D312" s="262" t="s">
        <v>12</v>
      </c>
      <c r="E312" s="263" t="s">
        <v>799</v>
      </c>
      <c r="F312" s="261" t="s">
        <v>858</v>
      </c>
      <c r="G312" s="259">
        <v>10</v>
      </c>
    </row>
    <row r="313" spans="2:7" hidden="1" x14ac:dyDescent="0.25">
      <c r="B313" s="258" t="s">
        <v>911</v>
      </c>
      <c r="C313" s="262" t="s">
        <v>83</v>
      </c>
      <c r="D313" s="262" t="s">
        <v>12</v>
      </c>
      <c r="E313" s="263" t="s">
        <v>799</v>
      </c>
      <c r="F313" s="261" t="s">
        <v>859</v>
      </c>
      <c r="G313" s="259">
        <v>10</v>
      </c>
    </row>
    <row r="314" spans="2:7" hidden="1" x14ac:dyDescent="0.25">
      <c r="B314" s="258" t="s">
        <v>911</v>
      </c>
      <c r="C314" s="262" t="s">
        <v>83</v>
      </c>
      <c r="D314" s="262" t="s">
        <v>12</v>
      </c>
      <c r="E314" s="263" t="s">
        <v>799</v>
      </c>
      <c r="F314" s="261" t="s">
        <v>860</v>
      </c>
      <c r="G314" s="259">
        <v>7</v>
      </c>
    </row>
    <row r="315" spans="2:7" hidden="1" x14ac:dyDescent="0.25">
      <c r="B315" s="258" t="s">
        <v>911</v>
      </c>
      <c r="C315" s="262" t="s">
        <v>83</v>
      </c>
      <c r="D315" s="262" t="s">
        <v>12</v>
      </c>
      <c r="E315" s="263" t="s">
        <v>799</v>
      </c>
      <c r="F315" s="261" t="s">
        <v>861</v>
      </c>
      <c r="G315" s="259">
        <v>10</v>
      </c>
    </row>
    <row r="316" spans="2:7" hidden="1" x14ac:dyDescent="0.25">
      <c r="B316" s="258" t="s">
        <v>911</v>
      </c>
      <c r="C316" s="262" t="s">
        <v>83</v>
      </c>
      <c r="D316" s="262" t="s">
        <v>12</v>
      </c>
      <c r="E316" s="263" t="s">
        <v>799</v>
      </c>
      <c r="F316" s="261" t="s">
        <v>862</v>
      </c>
      <c r="G316" s="259">
        <v>10</v>
      </c>
    </row>
    <row r="317" spans="2:7" hidden="1" x14ac:dyDescent="0.25">
      <c r="B317" s="258" t="s">
        <v>911</v>
      </c>
      <c r="C317" s="262" t="s">
        <v>83</v>
      </c>
      <c r="D317" s="262" t="s">
        <v>12</v>
      </c>
      <c r="E317" s="263" t="s">
        <v>799</v>
      </c>
      <c r="F317" s="261" t="s">
        <v>863</v>
      </c>
      <c r="G317" s="259">
        <v>5</v>
      </c>
    </row>
    <row r="318" spans="2:7" hidden="1" x14ac:dyDescent="0.25">
      <c r="B318" s="258" t="s">
        <v>911</v>
      </c>
      <c r="C318" s="262" t="s">
        <v>83</v>
      </c>
      <c r="D318" s="262" t="s">
        <v>12</v>
      </c>
      <c r="E318" s="263" t="s">
        <v>799</v>
      </c>
      <c r="F318" s="261" t="s">
        <v>864</v>
      </c>
      <c r="G318" s="259">
        <v>10</v>
      </c>
    </row>
    <row r="319" spans="2:7" hidden="1" x14ac:dyDescent="0.25">
      <c r="B319" s="258" t="s">
        <v>911</v>
      </c>
      <c r="C319" s="262" t="s">
        <v>83</v>
      </c>
      <c r="D319" s="262" t="s">
        <v>12</v>
      </c>
      <c r="E319" s="262" t="s">
        <v>798</v>
      </c>
      <c r="F319" s="261" t="s">
        <v>865</v>
      </c>
      <c r="G319" s="259">
        <v>10</v>
      </c>
    </row>
    <row r="320" spans="2:7" hidden="1" x14ac:dyDescent="0.25">
      <c r="B320" s="258" t="s">
        <v>911</v>
      </c>
      <c r="C320" s="262" t="s">
        <v>83</v>
      </c>
      <c r="D320" s="262" t="s">
        <v>12</v>
      </c>
      <c r="E320" s="262" t="s">
        <v>798</v>
      </c>
      <c r="F320" s="261" t="s">
        <v>866</v>
      </c>
      <c r="G320" s="259">
        <v>5</v>
      </c>
    </row>
    <row r="321" spans="2:7" hidden="1" x14ac:dyDescent="0.25">
      <c r="B321" s="258" t="s">
        <v>911</v>
      </c>
      <c r="C321" s="262" t="s">
        <v>83</v>
      </c>
      <c r="D321" s="262" t="s">
        <v>12</v>
      </c>
      <c r="E321" s="262" t="s">
        <v>797</v>
      </c>
      <c r="F321" s="264" t="s">
        <v>867</v>
      </c>
      <c r="G321" s="262">
        <v>5</v>
      </c>
    </row>
    <row r="322" spans="2:7" hidden="1" x14ac:dyDescent="0.25">
      <c r="B322" s="258" t="s">
        <v>911</v>
      </c>
      <c r="C322" s="262" t="s">
        <v>83</v>
      </c>
      <c r="D322" s="262" t="s">
        <v>12</v>
      </c>
      <c r="E322" s="262" t="s">
        <v>797</v>
      </c>
      <c r="F322" s="264" t="s">
        <v>868</v>
      </c>
      <c r="G322" s="262">
        <v>8</v>
      </c>
    </row>
    <row r="323" spans="2:7" hidden="1" x14ac:dyDescent="0.25">
      <c r="B323" s="258" t="s">
        <v>911</v>
      </c>
      <c r="C323" s="262" t="s">
        <v>83</v>
      </c>
      <c r="D323" s="262" t="s">
        <v>12</v>
      </c>
      <c r="E323" s="262" t="s">
        <v>788</v>
      </c>
      <c r="F323" s="264" t="s">
        <v>869</v>
      </c>
      <c r="G323" s="262">
        <v>0</v>
      </c>
    </row>
    <row r="324" spans="2:7" hidden="1" x14ac:dyDescent="0.25">
      <c r="B324" s="258" t="s">
        <v>911</v>
      </c>
      <c r="C324" s="262" t="s">
        <v>83</v>
      </c>
      <c r="D324" s="262" t="s">
        <v>12</v>
      </c>
      <c r="E324" s="262" t="s">
        <v>788</v>
      </c>
      <c r="F324" s="264" t="s">
        <v>870</v>
      </c>
      <c r="G324" s="262">
        <v>5</v>
      </c>
    </row>
    <row r="325" spans="2:7" hidden="1" x14ac:dyDescent="0.25">
      <c r="B325" s="258" t="s">
        <v>911</v>
      </c>
      <c r="C325" s="262" t="s">
        <v>83</v>
      </c>
      <c r="D325" s="262" t="s">
        <v>12</v>
      </c>
      <c r="E325" s="262" t="s">
        <v>787</v>
      </c>
      <c r="F325" s="264" t="s">
        <v>871</v>
      </c>
      <c r="G325" s="262">
        <v>0</v>
      </c>
    </row>
    <row r="326" spans="2:7" hidden="1" x14ac:dyDescent="0.25">
      <c r="B326" s="258" t="s">
        <v>911</v>
      </c>
      <c r="C326" s="262" t="s">
        <v>83</v>
      </c>
      <c r="D326" s="262" t="s">
        <v>12</v>
      </c>
      <c r="E326" s="262" t="s">
        <v>787</v>
      </c>
      <c r="F326" s="264" t="s">
        <v>872</v>
      </c>
      <c r="G326" s="262">
        <v>0</v>
      </c>
    </row>
    <row r="327" spans="2:7" hidden="1" x14ac:dyDescent="0.25">
      <c r="B327" s="258" t="s">
        <v>911</v>
      </c>
      <c r="C327" s="262" t="s">
        <v>83</v>
      </c>
      <c r="D327" s="262" t="s">
        <v>12</v>
      </c>
      <c r="E327" s="262" t="s">
        <v>786</v>
      </c>
      <c r="F327" s="264" t="s">
        <v>873</v>
      </c>
      <c r="G327" s="262">
        <v>0</v>
      </c>
    </row>
    <row r="328" spans="2:7" hidden="1" x14ac:dyDescent="0.25">
      <c r="B328" s="258" t="s">
        <v>911</v>
      </c>
      <c r="C328" s="262" t="s">
        <v>83</v>
      </c>
      <c r="D328" s="262" t="s">
        <v>12</v>
      </c>
      <c r="E328" s="262" t="s">
        <v>786</v>
      </c>
      <c r="F328" s="264" t="s">
        <v>874</v>
      </c>
      <c r="G328" s="262">
        <v>0</v>
      </c>
    </row>
    <row r="329" spans="2:7" hidden="1" x14ac:dyDescent="0.25">
      <c r="B329" s="258" t="s">
        <v>911</v>
      </c>
      <c r="C329" s="262" t="s">
        <v>83</v>
      </c>
      <c r="D329" s="262" t="s">
        <v>34</v>
      </c>
      <c r="E329" s="263" t="s">
        <v>799</v>
      </c>
      <c r="F329" s="261" t="s">
        <v>875</v>
      </c>
      <c r="G329" s="259">
        <v>10</v>
      </c>
    </row>
    <row r="330" spans="2:7" hidden="1" x14ac:dyDescent="0.25">
      <c r="B330" s="258" t="s">
        <v>911</v>
      </c>
      <c r="C330" s="262" t="s">
        <v>83</v>
      </c>
      <c r="D330" s="262" t="s">
        <v>34</v>
      </c>
      <c r="E330" s="263" t="s">
        <v>799</v>
      </c>
      <c r="F330" s="261" t="s">
        <v>876</v>
      </c>
      <c r="G330" s="259">
        <v>10</v>
      </c>
    </row>
    <row r="331" spans="2:7" hidden="1" x14ac:dyDescent="0.25">
      <c r="B331" s="258" t="s">
        <v>911</v>
      </c>
      <c r="C331" s="262" t="s">
        <v>83</v>
      </c>
      <c r="D331" s="262" t="s">
        <v>41</v>
      </c>
      <c r="E331" s="263" t="s">
        <v>799</v>
      </c>
      <c r="F331" s="261" t="s">
        <v>877</v>
      </c>
      <c r="G331" s="259">
        <v>5</v>
      </c>
    </row>
    <row r="332" spans="2:7" hidden="1" x14ac:dyDescent="0.25">
      <c r="B332" s="258" t="s">
        <v>911</v>
      </c>
      <c r="C332" s="262" t="s">
        <v>83</v>
      </c>
      <c r="D332" s="262" t="s">
        <v>46</v>
      </c>
      <c r="E332" s="263" t="s">
        <v>799</v>
      </c>
      <c r="F332" s="261" t="s">
        <v>878</v>
      </c>
      <c r="G332" s="259">
        <v>4</v>
      </c>
    </row>
    <row r="333" spans="2:7" hidden="1" x14ac:dyDescent="0.25">
      <c r="B333" s="258" t="s">
        <v>911</v>
      </c>
      <c r="C333" s="262" t="s">
        <v>114</v>
      </c>
      <c r="D333" s="262" t="s">
        <v>12</v>
      </c>
      <c r="E333" s="263" t="s">
        <v>799</v>
      </c>
      <c r="F333" s="261" t="s">
        <v>879</v>
      </c>
      <c r="G333" s="259">
        <v>10</v>
      </c>
    </row>
    <row r="334" spans="2:7" hidden="1" x14ac:dyDescent="0.25">
      <c r="B334" s="258" t="s">
        <v>911</v>
      </c>
      <c r="C334" s="262" t="s">
        <v>114</v>
      </c>
      <c r="D334" s="262" t="s">
        <v>12</v>
      </c>
      <c r="E334" s="263" t="s">
        <v>799</v>
      </c>
      <c r="F334" s="261" t="s">
        <v>880</v>
      </c>
      <c r="G334" s="259">
        <v>10</v>
      </c>
    </row>
    <row r="335" spans="2:7" hidden="1" x14ac:dyDescent="0.25">
      <c r="B335" s="258" t="s">
        <v>911</v>
      </c>
      <c r="C335" s="262" t="s">
        <v>114</v>
      </c>
      <c r="D335" s="262" t="s">
        <v>12</v>
      </c>
      <c r="E335" s="263" t="s">
        <v>799</v>
      </c>
      <c r="F335" s="261" t="s">
        <v>881</v>
      </c>
      <c r="G335" s="259">
        <v>10</v>
      </c>
    </row>
    <row r="336" spans="2:7" hidden="1" x14ac:dyDescent="0.25">
      <c r="B336" s="258" t="s">
        <v>911</v>
      </c>
      <c r="C336" s="262" t="s">
        <v>114</v>
      </c>
      <c r="D336" s="262" t="s">
        <v>12</v>
      </c>
      <c r="E336" s="263" t="s">
        <v>799</v>
      </c>
      <c r="F336" s="261" t="s">
        <v>882</v>
      </c>
      <c r="G336" s="259">
        <v>10</v>
      </c>
    </row>
    <row r="337" spans="2:7" hidden="1" x14ac:dyDescent="0.25">
      <c r="B337" s="258" t="s">
        <v>911</v>
      </c>
      <c r="C337" s="262" t="s">
        <v>114</v>
      </c>
      <c r="D337" s="262" t="s">
        <v>12</v>
      </c>
      <c r="E337" s="263" t="s">
        <v>799</v>
      </c>
      <c r="F337" s="261" t="s">
        <v>883</v>
      </c>
      <c r="G337" s="259">
        <v>10</v>
      </c>
    </row>
    <row r="338" spans="2:7" hidden="1" x14ac:dyDescent="0.25">
      <c r="B338" s="258" t="s">
        <v>911</v>
      </c>
      <c r="C338" s="262" t="s">
        <v>114</v>
      </c>
      <c r="D338" s="262" t="s">
        <v>12</v>
      </c>
      <c r="E338" s="263" t="s">
        <v>799</v>
      </c>
      <c r="F338" s="261" t="s">
        <v>884</v>
      </c>
      <c r="G338" s="259">
        <v>9</v>
      </c>
    </row>
    <row r="339" spans="2:7" hidden="1" x14ac:dyDescent="0.25">
      <c r="B339" s="258" t="s">
        <v>911</v>
      </c>
      <c r="C339" s="262" t="s">
        <v>114</v>
      </c>
      <c r="D339" s="262" t="s">
        <v>12</v>
      </c>
      <c r="E339" s="263" t="s">
        <v>799</v>
      </c>
      <c r="F339" s="261" t="s">
        <v>885</v>
      </c>
      <c r="G339" s="259">
        <v>9</v>
      </c>
    </row>
    <row r="340" spans="2:7" hidden="1" x14ac:dyDescent="0.25">
      <c r="B340" s="258" t="s">
        <v>911</v>
      </c>
      <c r="C340" s="262" t="s">
        <v>114</v>
      </c>
      <c r="D340" s="262" t="s">
        <v>12</v>
      </c>
      <c r="E340" s="262" t="s">
        <v>798</v>
      </c>
      <c r="F340" s="261" t="s">
        <v>886</v>
      </c>
      <c r="G340" s="259">
        <v>8</v>
      </c>
    </row>
    <row r="341" spans="2:7" hidden="1" x14ac:dyDescent="0.25">
      <c r="B341" s="258" t="s">
        <v>911</v>
      </c>
      <c r="C341" s="262" t="s">
        <v>114</v>
      </c>
      <c r="D341" s="262" t="s">
        <v>12</v>
      </c>
      <c r="E341" s="262" t="s">
        <v>797</v>
      </c>
      <c r="F341" s="264" t="s">
        <v>887</v>
      </c>
      <c r="G341" s="262">
        <v>9</v>
      </c>
    </row>
    <row r="342" spans="2:7" hidden="1" x14ac:dyDescent="0.25">
      <c r="B342" s="258" t="s">
        <v>911</v>
      </c>
      <c r="C342" s="262" t="s">
        <v>114</v>
      </c>
      <c r="D342" s="262" t="s">
        <v>12</v>
      </c>
      <c r="E342" s="262" t="s">
        <v>797</v>
      </c>
      <c r="F342" s="264" t="s">
        <v>888</v>
      </c>
      <c r="G342" s="262">
        <v>7</v>
      </c>
    </row>
    <row r="343" spans="2:7" hidden="1" x14ac:dyDescent="0.25">
      <c r="B343" s="258" t="s">
        <v>911</v>
      </c>
      <c r="C343" s="262" t="s">
        <v>114</v>
      </c>
      <c r="D343" s="262" t="s">
        <v>12</v>
      </c>
      <c r="E343" s="262" t="s">
        <v>788</v>
      </c>
      <c r="F343" s="264" t="s">
        <v>889</v>
      </c>
      <c r="G343" s="262">
        <v>5</v>
      </c>
    </row>
    <row r="344" spans="2:7" hidden="1" x14ac:dyDescent="0.25">
      <c r="B344" s="258" t="s">
        <v>911</v>
      </c>
      <c r="C344" s="262" t="s">
        <v>114</v>
      </c>
      <c r="D344" s="262" t="s">
        <v>12</v>
      </c>
      <c r="E344" s="262" t="s">
        <v>788</v>
      </c>
      <c r="F344" s="264" t="s">
        <v>890</v>
      </c>
      <c r="G344" s="262">
        <v>5</v>
      </c>
    </row>
    <row r="345" spans="2:7" hidden="1" x14ac:dyDescent="0.25">
      <c r="B345" s="258" t="s">
        <v>911</v>
      </c>
      <c r="C345" s="262" t="s">
        <v>114</v>
      </c>
      <c r="D345" s="262" t="s">
        <v>12</v>
      </c>
      <c r="E345" s="262" t="s">
        <v>787</v>
      </c>
      <c r="F345" s="264" t="s">
        <v>891</v>
      </c>
      <c r="G345" s="262">
        <v>0</v>
      </c>
    </row>
    <row r="346" spans="2:7" hidden="1" x14ac:dyDescent="0.25">
      <c r="B346" s="258" t="s">
        <v>911</v>
      </c>
      <c r="C346" s="262" t="s">
        <v>114</v>
      </c>
      <c r="D346" s="262" t="s">
        <v>12</v>
      </c>
      <c r="E346" s="262" t="s">
        <v>787</v>
      </c>
      <c r="F346" s="264" t="s">
        <v>892</v>
      </c>
      <c r="G346" s="262">
        <v>0</v>
      </c>
    </row>
    <row r="347" spans="2:7" hidden="1" x14ac:dyDescent="0.25">
      <c r="B347" s="258" t="s">
        <v>911</v>
      </c>
      <c r="C347" s="262" t="s">
        <v>114</v>
      </c>
      <c r="D347" s="262" t="s">
        <v>12</v>
      </c>
      <c r="E347" s="262" t="s">
        <v>786</v>
      </c>
      <c r="F347" s="264" t="s">
        <v>893</v>
      </c>
      <c r="G347" s="262">
        <v>0</v>
      </c>
    </row>
    <row r="348" spans="2:7" hidden="1" x14ac:dyDescent="0.25">
      <c r="B348" s="258" t="s">
        <v>911</v>
      </c>
      <c r="C348" s="262" t="s">
        <v>114</v>
      </c>
      <c r="D348" s="262" t="s">
        <v>12</v>
      </c>
      <c r="E348" s="262" t="s">
        <v>786</v>
      </c>
      <c r="F348" s="264" t="s">
        <v>894</v>
      </c>
      <c r="G348" s="262">
        <v>0</v>
      </c>
    </row>
    <row r="349" spans="2:7" hidden="1" x14ac:dyDescent="0.25">
      <c r="B349" s="258" t="s">
        <v>911</v>
      </c>
      <c r="C349" s="262" t="s">
        <v>114</v>
      </c>
      <c r="D349" s="262" t="s">
        <v>34</v>
      </c>
      <c r="E349" s="263" t="s">
        <v>799</v>
      </c>
      <c r="F349" s="265" t="s">
        <v>895</v>
      </c>
      <c r="G349" s="266">
        <v>10</v>
      </c>
    </row>
    <row r="350" spans="2:7" hidden="1" x14ac:dyDescent="0.25">
      <c r="B350" s="258" t="s">
        <v>911</v>
      </c>
      <c r="C350" s="262" t="s">
        <v>114</v>
      </c>
      <c r="D350" s="262" t="s">
        <v>34</v>
      </c>
      <c r="E350" s="263" t="s">
        <v>799</v>
      </c>
      <c r="F350" s="265" t="s">
        <v>896</v>
      </c>
      <c r="G350" s="266">
        <v>10</v>
      </c>
    </row>
    <row r="351" spans="2:7" hidden="1" x14ac:dyDescent="0.25">
      <c r="B351" s="258" t="s">
        <v>911</v>
      </c>
      <c r="C351" s="262" t="s">
        <v>114</v>
      </c>
      <c r="D351" s="262" t="s">
        <v>41</v>
      </c>
      <c r="E351" s="263" t="s">
        <v>799</v>
      </c>
      <c r="F351" s="265" t="s">
        <v>897</v>
      </c>
      <c r="G351" s="266">
        <v>5</v>
      </c>
    </row>
    <row r="352" spans="2:7" hidden="1" x14ac:dyDescent="0.25">
      <c r="B352" s="258" t="s">
        <v>911</v>
      </c>
      <c r="C352" s="262" t="s">
        <v>114</v>
      </c>
      <c r="D352" s="262" t="s">
        <v>41</v>
      </c>
      <c r="E352" s="263" t="s">
        <v>799</v>
      </c>
      <c r="F352" s="265" t="s">
        <v>898</v>
      </c>
      <c r="G352" s="266">
        <v>5</v>
      </c>
    </row>
    <row r="353" spans="2:7" hidden="1" x14ac:dyDescent="0.25">
      <c r="B353" s="258" t="s">
        <v>911</v>
      </c>
      <c r="C353" s="262" t="s">
        <v>114</v>
      </c>
      <c r="D353" s="262" t="s">
        <v>46</v>
      </c>
      <c r="E353" s="263" t="s">
        <v>799</v>
      </c>
      <c r="F353" s="265" t="s">
        <v>899</v>
      </c>
      <c r="G353" s="266">
        <v>4</v>
      </c>
    </row>
    <row r="354" spans="2:7" hidden="1" x14ac:dyDescent="0.25">
      <c r="B354" s="214" t="s">
        <v>914</v>
      </c>
      <c r="C354" s="215" t="s">
        <v>11</v>
      </c>
      <c r="D354" s="215" t="s">
        <v>12</v>
      </c>
      <c r="E354" s="216" t="s">
        <v>799</v>
      </c>
      <c r="F354" s="217" t="s">
        <v>812</v>
      </c>
      <c r="G354" s="217">
        <v>10</v>
      </c>
    </row>
    <row r="355" spans="2:7" hidden="1" x14ac:dyDescent="0.25">
      <c r="B355" s="214" t="s">
        <v>914</v>
      </c>
      <c r="C355" s="218" t="s">
        <v>11</v>
      </c>
      <c r="D355" s="218" t="s">
        <v>12</v>
      </c>
      <c r="E355" s="219" t="s">
        <v>799</v>
      </c>
      <c r="F355" s="217" t="s">
        <v>813</v>
      </c>
      <c r="G355" s="217">
        <v>10</v>
      </c>
    </row>
    <row r="356" spans="2:7" hidden="1" x14ac:dyDescent="0.25">
      <c r="B356" s="214" t="s">
        <v>914</v>
      </c>
      <c r="C356" s="218" t="s">
        <v>11</v>
      </c>
      <c r="D356" s="218" t="s">
        <v>12</v>
      </c>
      <c r="E356" s="219" t="s">
        <v>799</v>
      </c>
      <c r="F356" s="217" t="s">
        <v>814</v>
      </c>
      <c r="G356" s="217">
        <v>10</v>
      </c>
    </row>
    <row r="357" spans="2:7" hidden="1" x14ac:dyDescent="0.25">
      <c r="B357" s="214" t="s">
        <v>914</v>
      </c>
      <c r="C357" s="218" t="s">
        <v>11</v>
      </c>
      <c r="D357" s="218" t="s">
        <v>12</v>
      </c>
      <c r="E357" s="219" t="s">
        <v>799</v>
      </c>
      <c r="F357" s="217" t="s">
        <v>815</v>
      </c>
      <c r="G357" s="217">
        <v>10</v>
      </c>
    </row>
    <row r="358" spans="2:7" hidden="1" x14ac:dyDescent="0.25">
      <c r="B358" s="214" t="s">
        <v>914</v>
      </c>
      <c r="C358" s="218" t="s">
        <v>11</v>
      </c>
      <c r="D358" s="218" t="s">
        <v>12</v>
      </c>
      <c r="E358" s="219" t="s">
        <v>799</v>
      </c>
      <c r="F358" s="217" t="s">
        <v>816</v>
      </c>
      <c r="G358" s="217">
        <v>10</v>
      </c>
    </row>
    <row r="359" spans="2:7" hidden="1" x14ac:dyDescent="0.25">
      <c r="B359" s="214" t="s">
        <v>914</v>
      </c>
      <c r="C359" s="218" t="s">
        <v>11</v>
      </c>
      <c r="D359" s="218" t="s">
        <v>12</v>
      </c>
      <c r="E359" s="219" t="s">
        <v>799</v>
      </c>
      <c r="F359" s="217" t="s">
        <v>817</v>
      </c>
      <c r="G359" s="217">
        <v>10</v>
      </c>
    </row>
    <row r="360" spans="2:7" hidden="1" x14ac:dyDescent="0.25">
      <c r="B360" s="214" t="s">
        <v>914</v>
      </c>
      <c r="C360" s="218" t="s">
        <v>11</v>
      </c>
      <c r="D360" s="218" t="s">
        <v>12</v>
      </c>
      <c r="E360" s="219" t="s">
        <v>799</v>
      </c>
      <c r="F360" s="217" t="s">
        <v>818</v>
      </c>
      <c r="G360" s="217">
        <v>8</v>
      </c>
    </row>
    <row r="361" spans="2:7" hidden="1" x14ac:dyDescent="0.25">
      <c r="B361" s="214" t="s">
        <v>914</v>
      </c>
      <c r="C361" s="218" t="s">
        <v>11</v>
      </c>
      <c r="D361" s="218" t="s">
        <v>12</v>
      </c>
      <c r="E361" s="218" t="s">
        <v>798</v>
      </c>
      <c r="F361" s="217" t="s">
        <v>819</v>
      </c>
      <c r="G361" s="217">
        <v>9</v>
      </c>
    </row>
    <row r="362" spans="2:7" hidden="1" x14ac:dyDescent="0.25">
      <c r="B362" s="214" t="s">
        <v>914</v>
      </c>
      <c r="C362" s="218" t="s">
        <v>11</v>
      </c>
      <c r="D362" s="218" t="s">
        <v>12</v>
      </c>
      <c r="E362" s="218" t="s">
        <v>797</v>
      </c>
      <c r="F362" s="220" t="s">
        <v>820</v>
      </c>
      <c r="G362" s="220">
        <v>6</v>
      </c>
    </row>
    <row r="363" spans="2:7" hidden="1" x14ac:dyDescent="0.25">
      <c r="B363" s="214" t="s">
        <v>914</v>
      </c>
      <c r="C363" s="218" t="s">
        <v>11</v>
      </c>
      <c r="D363" s="218" t="s">
        <v>12</v>
      </c>
      <c r="E363" s="218" t="s">
        <v>797</v>
      </c>
      <c r="F363" s="220" t="s">
        <v>821</v>
      </c>
      <c r="G363" s="220">
        <v>6</v>
      </c>
    </row>
    <row r="364" spans="2:7" hidden="1" x14ac:dyDescent="0.25">
      <c r="B364" s="214" t="s">
        <v>914</v>
      </c>
      <c r="C364" s="218" t="s">
        <v>11</v>
      </c>
      <c r="D364" s="218" t="s">
        <v>12</v>
      </c>
      <c r="E364" s="218" t="s">
        <v>788</v>
      </c>
      <c r="F364" s="220" t="s">
        <v>822</v>
      </c>
      <c r="G364" s="220">
        <v>6</v>
      </c>
    </row>
    <row r="365" spans="2:7" hidden="1" x14ac:dyDescent="0.25">
      <c r="B365" s="214" t="s">
        <v>914</v>
      </c>
      <c r="C365" s="218" t="s">
        <v>11</v>
      </c>
      <c r="D365" s="218" t="s">
        <v>12</v>
      </c>
      <c r="E365" s="218" t="s">
        <v>788</v>
      </c>
      <c r="F365" s="220" t="s">
        <v>823</v>
      </c>
      <c r="G365" s="220">
        <v>0</v>
      </c>
    </row>
    <row r="366" spans="2:7" hidden="1" x14ac:dyDescent="0.25">
      <c r="B366" s="214" t="s">
        <v>914</v>
      </c>
      <c r="C366" s="218" t="s">
        <v>11</v>
      </c>
      <c r="D366" s="218" t="s">
        <v>12</v>
      </c>
      <c r="E366" s="218" t="s">
        <v>787</v>
      </c>
      <c r="F366" s="220" t="s">
        <v>824</v>
      </c>
      <c r="G366" s="220">
        <v>0</v>
      </c>
    </row>
    <row r="367" spans="2:7" hidden="1" x14ac:dyDescent="0.25">
      <c r="B367" s="214" t="s">
        <v>914</v>
      </c>
      <c r="C367" s="218" t="s">
        <v>11</v>
      </c>
      <c r="D367" s="218" t="s">
        <v>12</v>
      </c>
      <c r="E367" s="218" t="s">
        <v>787</v>
      </c>
      <c r="F367" s="220" t="s">
        <v>825</v>
      </c>
      <c r="G367" s="220">
        <v>0</v>
      </c>
    </row>
    <row r="368" spans="2:7" hidden="1" x14ac:dyDescent="0.25">
      <c r="B368" s="214" t="s">
        <v>914</v>
      </c>
      <c r="C368" s="218" t="s">
        <v>11</v>
      </c>
      <c r="D368" s="218" t="s">
        <v>12</v>
      </c>
      <c r="E368" s="218" t="s">
        <v>786</v>
      </c>
      <c r="F368" s="220" t="s">
        <v>826</v>
      </c>
      <c r="G368" s="220">
        <v>0</v>
      </c>
    </row>
    <row r="369" spans="2:7" hidden="1" x14ac:dyDescent="0.25">
      <c r="B369" s="214" t="s">
        <v>914</v>
      </c>
      <c r="C369" s="218" t="s">
        <v>11</v>
      </c>
      <c r="D369" s="218" t="s">
        <v>12</v>
      </c>
      <c r="E369" s="218" t="s">
        <v>786</v>
      </c>
      <c r="F369" s="220" t="s">
        <v>827</v>
      </c>
      <c r="G369" s="220">
        <v>0</v>
      </c>
    </row>
    <row r="370" spans="2:7" hidden="1" x14ac:dyDescent="0.25">
      <c r="B370" s="214" t="s">
        <v>914</v>
      </c>
      <c r="C370" s="218" t="s">
        <v>11</v>
      </c>
      <c r="D370" s="218" t="s">
        <v>34</v>
      </c>
      <c r="E370" s="219" t="s">
        <v>799</v>
      </c>
      <c r="F370" s="217" t="s">
        <v>828</v>
      </c>
      <c r="G370" s="217">
        <v>10</v>
      </c>
    </row>
    <row r="371" spans="2:7" hidden="1" x14ac:dyDescent="0.25">
      <c r="B371" s="214" t="s">
        <v>914</v>
      </c>
      <c r="C371" s="218" t="s">
        <v>11</v>
      </c>
      <c r="D371" s="218" t="s">
        <v>34</v>
      </c>
      <c r="E371" s="219" t="s">
        <v>799</v>
      </c>
      <c r="F371" s="220" t="s">
        <v>829</v>
      </c>
      <c r="G371" s="220">
        <v>10</v>
      </c>
    </row>
    <row r="372" spans="2:7" hidden="1" x14ac:dyDescent="0.25">
      <c r="B372" s="214" t="s">
        <v>914</v>
      </c>
      <c r="C372" s="218" t="s">
        <v>11</v>
      </c>
      <c r="D372" s="218" t="s">
        <v>41</v>
      </c>
      <c r="E372" s="219" t="s">
        <v>799</v>
      </c>
      <c r="F372" s="220" t="s">
        <v>830</v>
      </c>
      <c r="G372" s="220">
        <v>5</v>
      </c>
    </row>
    <row r="373" spans="2:7" hidden="1" x14ac:dyDescent="0.25">
      <c r="B373" s="214" t="s">
        <v>914</v>
      </c>
      <c r="C373" s="218" t="s">
        <v>11</v>
      </c>
      <c r="D373" s="218" t="s">
        <v>41</v>
      </c>
      <c r="E373" s="219" t="s">
        <v>799</v>
      </c>
      <c r="F373" s="220" t="s">
        <v>831</v>
      </c>
      <c r="G373" s="220">
        <v>5</v>
      </c>
    </row>
    <row r="374" spans="2:7" hidden="1" x14ac:dyDescent="0.25">
      <c r="B374" s="214" t="s">
        <v>914</v>
      </c>
      <c r="C374" s="218" t="s">
        <v>11</v>
      </c>
      <c r="D374" s="218" t="s">
        <v>41</v>
      </c>
      <c r="E374" s="219" t="s">
        <v>799</v>
      </c>
      <c r="F374" s="220" t="s">
        <v>832</v>
      </c>
      <c r="G374" s="220">
        <v>5</v>
      </c>
    </row>
    <row r="375" spans="2:7" hidden="1" x14ac:dyDescent="0.25">
      <c r="B375" s="214" t="s">
        <v>914</v>
      </c>
      <c r="C375" s="218" t="s">
        <v>11</v>
      </c>
      <c r="D375" s="218" t="s">
        <v>46</v>
      </c>
      <c r="E375" s="219" t="s">
        <v>799</v>
      </c>
      <c r="F375" s="220" t="s">
        <v>833</v>
      </c>
      <c r="G375" s="220">
        <v>4</v>
      </c>
    </row>
    <row r="376" spans="2:7" hidden="1" x14ac:dyDescent="0.25">
      <c r="B376" s="214" t="s">
        <v>914</v>
      </c>
      <c r="C376" s="218" t="s">
        <v>48</v>
      </c>
      <c r="D376" s="218" t="s">
        <v>12</v>
      </c>
      <c r="E376" s="219" t="s">
        <v>799</v>
      </c>
      <c r="F376" s="220" t="s">
        <v>834</v>
      </c>
      <c r="G376" s="220">
        <v>10</v>
      </c>
    </row>
    <row r="377" spans="2:7" hidden="1" x14ac:dyDescent="0.25">
      <c r="B377" s="214" t="s">
        <v>914</v>
      </c>
      <c r="C377" s="218" t="s">
        <v>48</v>
      </c>
      <c r="D377" s="218" t="s">
        <v>12</v>
      </c>
      <c r="E377" s="219" t="s">
        <v>799</v>
      </c>
      <c r="F377" s="217" t="s">
        <v>835</v>
      </c>
      <c r="G377" s="217">
        <v>10</v>
      </c>
    </row>
    <row r="378" spans="2:7" hidden="1" x14ac:dyDescent="0.25">
      <c r="B378" s="214" t="s">
        <v>914</v>
      </c>
      <c r="C378" s="218" t="s">
        <v>48</v>
      </c>
      <c r="D378" s="218" t="s">
        <v>12</v>
      </c>
      <c r="E378" s="219" t="s">
        <v>799</v>
      </c>
      <c r="F378" s="217" t="s">
        <v>836</v>
      </c>
      <c r="G378" s="217">
        <v>10</v>
      </c>
    </row>
    <row r="379" spans="2:7" hidden="1" x14ac:dyDescent="0.25">
      <c r="B379" s="214" t="s">
        <v>914</v>
      </c>
      <c r="C379" s="218" t="s">
        <v>48</v>
      </c>
      <c r="D379" s="218" t="s">
        <v>12</v>
      </c>
      <c r="E379" s="219" t="s">
        <v>799</v>
      </c>
      <c r="F379" s="217" t="s">
        <v>837</v>
      </c>
      <c r="G379" s="217">
        <v>9</v>
      </c>
    </row>
    <row r="380" spans="2:7" hidden="1" x14ac:dyDescent="0.25">
      <c r="B380" s="214" t="s">
        <v>914</v>
      </c>
      <c r="C380" s="218" t="s">
        <v>48</v>
      </c>
      <c r="D380" s="218" t="s">
        <v>12</v>
      </c>
      <c r="E380" s="219" t="s">
        <v>799</v>
      </c>
      <c r="F380" s="217" t="s">
        <v>838</v>
      </c>
      <c r="G380" s="217">
        <v>10</v>
      </c>
    </row>
    <row r="381" spans="2:7" hidden="1" x14ac:dyDescent="0.25">
      <c r="B381" s="214" t="s">
        <v>914</v>
      </c>
      <c r="C381" s="218" t="s">
        <v>48</v>
      </c>
      <c r="D381" s="218" t="s">
        <v>12</v>
      </c>
      <c r="E381" s="219" t="s">
        <v>799</v>
      </c>
      <c r="F381" s="217" t="s">
        <v>839</v>
      </c>
      <c r="G381" s="217">
        <v>10</v>
      </c>
    </row>
    <row r="382" spans="2:7" hidden="1" x14ac:dyDescent="0.25">
      <c r="B382" s="214" t="s">
        <v>914</v>
      </c>
      <c r="C382" s="218" t="s">
        <v>48</v>
      </c>
      <c r="D382" s="218" t="s">
        <v>12</v>
      </c>
      <c r="E382" s="219" t="s">
        <v>799</v>
      </c>
      <c r="F382" s="217" t="s">
        <v>840</v>
      </c>
      <c r="G382" s="217">
        <v>9</v>
      </c>
    </row>
    <row r="383" spans="2:7" hidden="1" x14ac:dyDescent="0.25">
      <c r="B383" s="214" t="s">
        <v>914</v>
      </c>
      <c r="C383" s="218" t="s">
        <v>48</v>
      </c>
      <c r="D383" s="218" t="s">
        <v>12</v>
      </c>
      <c r="E383" s="219" t="s">
        <v>799</v>
      </c>
      <c r="F383" s="217" t="s">
        <v>841</v>
      </c>
      <c r="G383" s="217">
        <v>10</v>
      </c>
    </row>
    <row r="384" spans="2:7" hidden="1" x14ac:dyDescent="0.25">
      <c r="B384" s="214" t="s">
        <v>914</v>
      </c>
      <c r="C384" s="218" t="s">
        <v>48</v>
      </c>
      <c r="D384" s="218" t="s">
        <v>12</v>
      </c>
      <c r="E384" s="218" t="s">
        <v>798</v>
      </c>
      <c r="F384" s="217" t="s">
        <v>842</v>
      </c>
      <c r="G384" s="217">
        <v>9</v>
      </c>
    </row>
    <row r="385" spans="2:7" hidden="1" x14ac:dyDescent="0.25">
      <c r="B385" s="214" t="s">
        <v>914</v>
      </c>
      <c r="C385" s="218" t="s">
        <v>48</v>
      </c>
      <c r="D385" s="218" t="s">
        <v>12</v>
      </c>
      <c r="E385" s="218" t="s">
        <v>798</v>
      </c>
      <c r="F385" s="217" t="s">
        <v>843</v>
      </c>
      <c r="G385" s="217">
        <v>9</v>
      </c>
    </row>
    <row r="386" spans="2:7" hidden="1" x14ac:dyDescent="0.25">
      <c r="B386" s="214" t="s">
        <v>914</v>
      </c>
      <c r="C386" s="218" t="s">
        <v>48</v>
      </c>
      <c r="D386" s="218" t="s">
        <v>12</v>
      </c>
      <c r="E386" s="218" t="s">
        <v>797</v>
      </c>
      <c r="F386" s="220" t="s">
        <v>844</v>
      </c>
      <c r="G386" s="220">
        <v>6</v>
      </c>
    </row>
    <row r="387" spans="2:7" hidden="1" x14ac:dyDescent="0.25">
      <c r="B387" s="214" t="s">
        <v>914</v>
      </c>
      <c r="C387" s="218" t="s">
        <v>48</v>
      </c>
      <c r="D387" s="218" t="s">
        <v>12</v>
      </c>
      <c r="E387" s="218" t="s">
        <v>797</v>
      </c>
      <c r="F387" s="220" t="s">
        <v>845</v>
      </c>
      <c r="G387" s="220">
        <v>9</v>
      </c>
    </row>
    <row r="388" spans="2:7" hidden="1" x14ac:dyDescent="0.25">
      <c r="B388" s="214" t="s">
        <v>914</v>
      </c>
      <c r="C388" s="218" t="s">
        <v>48</v>
      </c>
      <c r="D388" s="218" t="s">
        <v>12</v>
      </c>
      <c r="E388" s="218" t="s">
        <v>788</v>
      </c>
      <c r="F388" s="220" t="s">
        <v>846</v>
      </c>
      <c r="G388" s="220">
        <v>0</v>
      </c>
    </row>
    <row r="389" spans="2:7" hidden="1" x14ac:dyDescent="0.25">
      <c r="B389" s="214" t="s">
        <v>914</v>
      </c>
      <c r="C389" s="218" t="s">
        <v>48</v>
      </c>
      <c r="D389" s="218" t="s">
        <v>12</v>
      </c>
      <c r="E389" s="218" t="s">
        <v>788</v>
      </c>
      <c r="F389" s="220" t="s">
        <v>847</v>
      </c>
      <c r="G389" s="220">
        <v>5</v>
      </c>
    </row>
    <row r="390" spans="2:7" hidden="1" x14ac:dyDescent="0.25">
      <c r="B390" s="214" t="s">
        <v>914</v>
      </c>
      <c r="C390" s="218" t="s">
        <v>48</v>
      </c>
      <c r="D390" s="218" t="s">
        <v>12</v>
      </c>
      <c r="E390" s="218" t="s">
        <v>787</v>
      </c>
      <c r="F390" s="220" t="s">
        <v>848</v>
      </c>
      <c r="G390" s="220">
        <v>0</v>
      </c>
    </row>
    <row r="391" spans="2:7" hidden="1" x14ac:dyDescent="0.25">
      <c r="B391" s="214" t="s">
        <v>914</v>
      </c>
      <c r="C391" s="218" t="s">
        <v>48</v>
      </c>
      <c r="D391" s="218" t="s">
        <v>12</v>
      </c>
      <c r="E391" s="218" t="s">
        <v>787</v>
      </c>
      <c r="F391" s="220" t="s">
        <v>849</v>
      </c>
      <c r="G391" s="220">
        <v>0</v>
      </c>
    </row>
    <row r="392" spans="2:7" hidden="1" x14ac:dyDescent="0.25">
      <c r="B392" s="214" t="s">
        <v>914</v>
      </c>
      <c r="C392" s="218" t="s">
        <v>48</v>
      </c>
      <c r="D392" s="218" t="s">
        <v>12</v>
      </c>
      <c r="E392" s="218" t="s">
        <v>786</v>
      </c>
      <c r="F392" s="220" t="s">
        <v>850</v>
      </c>
      <c r="G392" s="220">
        <v>0</v>
      </c>
    </row>
    <row r="393" spans="2:7" hidden="1" x14ac:dyDescent="0.25">
      <c r="B393" s="214" t="s">
        <v>914</v>
      </c>
      <c r="C393" s="218" t="s">
        <v>48</v>
      </c>
      <c r="D393" s="218" t="s">
        <v>12</v>
      </c>
      <c r="E393" s="218" t="s">
        <v>786</v>
      </c>
      <c r="F393" s="220" t="s">
        <v>851</v>
      </c>
      <c r="G393" s="220">
        <v>0</v>
      </c>
    </row>
    <row r="394" spans="2:7" hidden="1" x14ac:dyDescent="0.25">
      <c r="B394" s="214" t="s">
        <v>914</v>
      </c>
      <c r="C394" s="218" t="s">
        <v>48</v>
      </c>
      <c r="D394" s="218" t="s">
        <v>34</v>
      </c>
      <c r="E394" s="219" t="s">
        <v>799</v>
      </c>
      <c r="F394" s="217" t="s">
        <v>852</v>
      </c>
      <c r="G394" s="217">
        <v>10</v>
      </c>
    </row>
    <row r="395" spans="2:7" hidden="1" x14ac:dyDescent="0.25">
      <c r="B395" s="214" t="s">
        <v>914</v>
      </c>
      <c r="C395" s="218" t="s">
        <v>48</v>
      </c>
      <c r="D395" s="218" t="s">
        <v>34</v>
      </c>
      <c r="E395" s="219" t="s">
        <v>799</v>
      </c>
      <c r="F395" s="217" t="s">
        <v>853</v>
      </c>
      <c r="G395" s="217">
        <v>10</v>
      </c>
    </row>
    <row r="396" spans="2:7" hidden="1" x14ac:dyDescent="0.25">
      <c r="B396" s="214" t="s">
        <v>914</v>
      </c>
      <c r="C396" s="218" t="s">
        <v>48</v>
      </c>
      <c r="D396" s="218" t="s">
        <v>41</v>
      </c>
      <c r="E396" s="219" t="s">
        <v>799</v>
      </c>
      <c r="F396" s="217" t="s">
        <v>854</v>
      </c>
      <c r="G396" s="217">
        <v>5</v>
      </c>
    </row>
    <row r="397" spans="2:7" hidden="1" x14ac:dyDescent="0.25">
      <c r="B397" s="214" t="s">
        <v>914</v>
      </c>
      <c r="C397" s="218" t="s">
        <v>48</v>
      </c>
      <c r="D397" s="218" t="s">
        <v>41</v>
      </c>
      <c r="E397" s="219" t="s">
        <v>799</v>
      </c>
      <c r="F397" s="217" t="s">
        <v>855</v>
      </c>
      <c r="G397" s="217">
        <v>5</v>
      </c>
    </row>
    <row r="398" spans="2:7" hidden="1" x14ac:dyDescent="0.25">
      <c r="B398" s="214" t="s">
        <v>914</v>
      </c>
      <c r="C398" s="218" t="s">
        <v>48</v>
      </c>
      <c r="D398" s="218" t="s">
        <v>46</v>
      </c>
      <c r="E398" s="219" t="s">
        <v>799</v>
      </c>
      <c r="F398" s="217" t="s">
        <v>856</v>
      </c>
      <c r="G398" s="217">
        <v>4</v>
      </c>
    </row>
    <row r="399" spans="2:7" hidden="1" x14ac:dyDescent="0.25">
      <c r="B399" s="214" t="s">
        <v>914</v>
      </c>
      <c r="C399" s="218" t="s">
        <v>83</v>
      </c>
      <c r="D399" s="218" t="s">
        <v>12</v>
      </c>
      <c r="E399" s="219" t="s">
        <v>799</v>
      </c>
      <c r="F399" s="217" t="s">
        <v>857</v>
      </c>
      <c r="G399" s="217">
        <v>10</v>
      </c>
    </row>
    <row r="400" spans="2:7" hidden="1" x14ac:dyDescent="0.25">
      <c r="B400" s="214" t="s">
        <v>914</v>
      </c>
      <c r="C400" s="218" t="s">
        <v>83</v>
      </c>
      <c r="D400" s="218" t="s">
        <v>12</v>
      </c>
      <c r="E400" s="219" t="s">
        <v>799</v>
      </c>
      <c r="F400" s="217" t="s">
        <v>858</v>
      </c>
      <c r="G400" s="217">
        <v>10</v>
      </c>
    </row>
    <row r="401" spans="2:7" hidden="1" x14ac:dyDescent="0.25">
      <c r="B401" s="214" t="s">
        <v>914</v>
      </c>
      <c r="C401" s="218" t="s">
        <v>83</v>
      </c>
      <c r="D401" s="218" t="s">
        <v>12</v>
      </c>
      <c r="E401" s="219" t="s">
        <v>799</v>
      </c>
      <c r="F401" s="217" t="s">
        <v>859</v>
      </c>
      <c r="G401" s="217">
        <v>10</v>
      </c>
    </row>
    <row r="402" spans="2:7" hidden="1" x14ac:dyDescent="0.25">
      <c r="B402" s="214" t="s">
        <v>914</v>
      </c>
      <c r="C402" s="218" t="s">
        <v>83</v>
      </c>
      <c r="D402" s="218" t="s">
        <v>12</v>
      </c>
      <c r="E402" s="219" t="s">
        <v>799</v>
      </c>
      <c r="F402" s="217" t="s">
        <v>860</v>
      </c>
      <c r="G402" s="217">
        <v>7</v>
      </c>
    </row>
    <row r="403" spans="2:7" hidden="1" x14ac:dyDescent="0.25">
      <c r="B403" s="214" t="s">
        <v>914</v>
      </c>
      <c r="C403" s="218" t="s">
        <v>83</v>
      </c>
      <c r="D403" s="218" t="s">
        <v>12</v>
      </c>
      <c r="E403" s="219" t="s">
        <v>799</v>
      </c>
      <c r="F403" s="217" t="s">
        <v>861</v>
      </c>
      <c r="G403" s="217">
        <v>10</v>
      </c>
    </row>
    <row r="404" spans="2:7" hidden="1" x14ac:dyDescent="0.25">
      <c r="B404" s="214" t="s">
        <v>914</v>
      </c>
      <c r="C404" s="218" t="s">
        <v>83</v>
      </c>
      <c r="D404" s="218" t="s">
        <v>12</v>
      </c>
      <c r="E404" s="219" t="s">
        <v>799</v>
      </c>
      <c r="F404" s="217" t="s">
        <v>862</v>
      </c>
      <c r="G404" s="217">
        <v>10</v>
      </c>
    </row>
    <row r="405" spans="2:7" hidden="1" x14ac:dyDescent="0.25">
      <c r="B405" s="214" t="s">
        <v>914</v>
      </c>
      <c r="C405" s="218" t="s">
        <v>83</v>
      </c>
      <c r="D405" s="218" t="s">
        <v>12</v>
      </c>
      <c r="E405" s="219" t="s">
        <v>799</v>
      </c>
      <c r="F405" s="217" t="s">
        <v>863</v>
      </c>
      <c r="G405" s="217">
        <v>7</v>
      </c>
    </row>
    <row r="406" spans="2:7" hidden="1" x14ac:dyDescent="0.25">
      <c r="B406" s="214" t="s">
        <v>914</v>
      </c>
      <c r="C406" s="218" t="s">
        <v>83</v>
      </c>
      <c r="D406" s="218" t="s">
        <v>12</v>
      </c>
      <c r="E406" s="219" t="s">
        <v>799</v>
      </c>
      <c r="F406" s="217" t="s">
        <v>864</v>
      </c>
      <c r="G406" s="217">
        <v>7</v>
      </c>
    </row>
    <row r="407" spans="2:7" hidden="1" x14ac:dyDescent="0.25">
      <c r="B407" s="214" t="s">
        <v>914</v>
      </c>
      <c r="C407" s="218" t="s">
        <v>83</v>
      </c>
      <c r="D407" s="218" t="s">
        <v>12</v>
      </c>
      <c r="E407" s="218" t="s">
        <v>798</v>
      </c>
      <c r="F407" s="217" t="s">
        <v>865</v>
      </c>
      <c r="G407" s="217">
        <v>10</v>
      </c>
    </row>
    <row r="408" spans="2:7" hidden="1" x14ac:dyDescent="0.25">
      <c r="B408" s="214" t="s">
        <v>914</v>
      </c>
      <c r="C408" s="218" t="s">
        <v>83</v>
      </c>
      <c r="D408" s="218" t="s">
        <v>12</v>
      </c>
      <c r="E408" s="218" t="s">
        <v>798</v>
      </c>
      <c r="F408" s="217" t="s">
        <v>866</v>
      </c>
      <c r="G408" s="217">
        <v>9</v>
      </c>
    </row>
    <row r="409" spans="2:7" hidden="1" x14ac:dyDescent="0.25">
      <c r="B409" s="214" t="s">
        <v>914</v>
      </c>
      <c r="C409" s="218" t="s">
        <v>83</v>
      </c>
      <c r="D409" s="218" t="s">
        <v>12</v>
      </c>
      <c r="E409" s="218" t="s">
        <v>797</v>
      </c>
      <c r="F409" s="220" t="s">
        <v>867</v>
      </c>
      <c r="G409" s="220">
        <v>6</v>
      </c>
    </row>
    <row r="410" spans="2:7" hidden="1" x14ac:dyDescent="0.25">
      <c r="B410" s="214" t="s">
        <v>914</v>
      </c>
      <c r="C410" s="218" t="s">
        <v>83</v>
      </c>
      <c r="D410" s="218" t="s">
        <v>12</v>
      </c>
      <c r="E410" s="218" t="s">
        <v>797</v>
      </c>
      <c r="F410" s="220" t="s">
        <v>868</v>
      </c>
      <c r="G410" s="220">
        <v>6</v>
      </c>
    </row>
    <row r="411" spans="2:7" hidden="1" x14ac:dyDescent="0.25">
      <c r="B411" s="214" t="s">
        <v>914</v>
      </c>
      <c r="C411" s="218" t="s">
        <v>83</v>
      </c>
      <c r="D411" s="218" t="s">
        <v>12</v>
      </c>
      <c r="E411" s="218" t="s">
        <v>788</v>
      </c>
      <c r="F411" s="220" t="s">
        <v>869</v>
      </c>
      <c r="G411" s="220">
        <v>0</v>
      </c>
    </row>
    <row r="412" spans="2:7" hidden="1" x14ac:dyDescent="0.25">
      <c r="B412" s="214" t="s">
        <v>914</v>
      </c>
      <c r="C412" s="218" t="s">
        <v>83</v>
      </c>
      <c r="D412" s="218" t="s">
        <v>12</v>
      </c>
      <c r="E412" s="218" t="s">
        <v>788</v>
      </c>
      <c r="F412" s="220" t="s">
        <v>870</v>
      </c>
      <c r="G412" s="220">
        <v>5</v>
      </c>
    </row>
    <row r="413" spans="2:7" hidden="1" x14ac:dyDescent="0.25">
      <c r="B413" s="214" t="s">
        <v>914</v>
      </c>
      <c r="C413" s="218" t="s">
        <v>83</v>
      </c>
      <c r="D413" s="218" t="s">
        <v>12</v>
      </c>
      <c r="E413" s="218" t="s">
        <v>787</v>
      </c>
      <c r="F413" s="220" t="s">
        <v>871</v>
      </c>
      <c r="G413" s="220">
        <v>0</v>
      </c>
    </row>
    <row r="414" spans="2:7" hidden="1" x14ac:dyDescent="0.25">
      <c r="B414" s="214" t="s">
        <v>914</v>
      </c>
      <c r="C414" s="218" t="s">
        <v>83</v>
      </c>
      <c r="D414" s="218" t="s">
        <v>12</v>
      </c>
      <c r="E414" s="218" t="s">
        <v>787</v>
      </c>
      <c r="F414" s="220" t="s">
        <v>872</v>
      </c>
      <c r="G414" s="220">
        <v>0</v>
      </c>
    </row>
    <row r="415" spans="2:7" hidden="1" x14ac:dyDescent="0.25">
      <c r="B415" s="214" t="s">
        <v>914</v>
      </c>
      <c r="C415" s="218" t="s">
        <v>83</v>
      </c>
      <c r="D415" s="218" t="s">
        <v>12</v>
      </c>
      <c r="E415" s="218" t="s">
        <v>786</v>
      </c>
      <c r="F415" s="220" t="s">
        <v>873</v>
      </c>
      <c r="G415" s="220">
        <v>0</v>
      </c>
    </row>
    <row r="416" spans="2:7" hidden="1" x14ac:dyDescent="0.25">
      <c r="B416" s="214" t="s">
        <v>914</v>
      </c>
      <c r="C416" s="218" t="s">
        <v>83</v>
      </c>
      <c r="D416" s="218" t="s">
        <v>12</v>
      </c>
      <c r="E416" s="218" t="s">
        <v>786</v>
      </c>
      <c r="F416" s="220" t="s">
        <v>874</v>
      </c>
      <c r="G416" s="220">
        <v>0</v>
      </c>
    </row>
    <row r="417" spans="2:7" hidden="1" x14ac:dyDescent="0.25">
      <c r="B417" s="214" t="s">
        <v>914</v>
      </c>
      <c r="C417" s="218" t="s">
        <v>83</v>
      </c>
      <c r="D417" s="218" t="s">
        <v>34</v>
      </c>
      <c r="E417" s="219" t="s">
        <v>799</v>
      </c>
      <c r="F417" s="217" t="s">
        <v>875</v>
      </c>
      <c r="G417" s="217">
        <v>10</v>
      </c>
    </row>
    <row r="418" spans="2:7" hidden="1" x14ac:dyDescent="0.25">
      <c r="B418" s="214" t="s">
        <v>914</v>
      </c>
      <c r="C418" s="218" t="s">
        <v>83</v>
      </c>
      <c r="D418" s="218" t="s">
        <v>34</v>
      </c>
      <c r="E418" s="219" t="s">
        <v>799</v>
      </c>
      <c r="F418" s="217" t="s">
        <v>876</v>
      </c>
      <c r="G418" s="217">
        <v>10</v>
      </c>
    </row>
    <row r="419" spans="2:7" hidden="1" x14ac:dyDescent="0.25">
      <c r="B419" s="214" t="s">
        <v>914</v>
      </c>
      <c r="C419" s="218" t="s">
        <v>83</v>
      </c>
      <c r="D419" s="218" t="s">
        <v>41</v>
      </c>
      <c r="E419" s="219" t="s">
        <v>799</v>
      </c>
      <c r="F419" s="217" t="s">
        <v>877</v>
      </c>
      <c r="G419" s="217">
        <v>5</v>
      </c>
    </row>
    <row r="420" spans="2:7" hidden="1" x14ac:dyDescent="0.25">
      <c r="B420" s="214" t="s">
        <v>914</v>
      </c>
      <c r="C420" s="218" t="s">
        <v>83</v>
      </c>
      <c r="D420" s="218" t="s">
        <v>46</v>
      </c>
      <c r="E420" s="219" t="s">
        <v>799</v>
      </c>
      <c r="F420" s="217" t="s">
        <v>878</v>
      </c>
      <c r="G420" s="217">
        <v>4</v>
      </c>
    </row>
    <row r="421" spans="2:7" hidden="1" x14ac:dyDescent="0.25">
      <c r="B421" s="214" t="s">
        <v>914</v>
      </c>
      <c r="C421" s="218" t="s">
        <v>114</v>
      </c>
      <c r="D421" s="218" t="s">
        <v>12</v>
      </c>
      <c r="E421" s="219" t="s">
        <v>799</v>
      </c>
      <c r="F421" s="217" t="s">
        <v>879</v>
      </c>
      <c r="G421" s="217">
        <v>10</v>
      </c>
    </row>
    <row r="422" spans="2:7" hidden="1" x14ac:dyDescent="0.25">
      <c r="B422" s="214" t="s">
        <v>914</v>
      </c>
      <c r="C422" s="218" t="s">
        <v>114</v>
      </c>
      <c r="D422" s="218" t="s">
        <v>12</v>
      </c>
      <c r="E422" s="219" t="s">
        <v>799</v>
      </c>
      <c r="F422" s="217" t="s">
        <v>880</v>
      </c>
      <c r="G422" s="217">
        <v>10</v>
      </c>
    </row>
    <row r="423" spans="2:7" hidden="1" x14ac:dyDescent="0.25">
      <c r="B423" s="214" t="s">
        <v>914</v>
      </c>
      <c r="C423" s="218" t="s">
        <v>114</v>
      </c>
      <c r="D423" s="218" t="s">
        <v>12</v>
      </c>
      <c r="E423" s="219" t="s">
        <v>799</v>
      </c>
      <c r="F423" s="217" t="s">
        <v>881</v>
      </c>
      <c r="G423" s="217">
        <v>8</v>
      </c>
    </row>
    <row r="424" spans="2:7" hidden="1" x14ac:dyDescent="0.25">
      <c r="B424" s="214" t="s">
        <v>914</v>
      </c>
      <c r="C424" s="218" t="s">
        <v>114</v>
      </c>
      <c r="D424" s="218" t="s">
        <v>12</v>
      </c>
      <c r="E424" s="219" t="s">
        <v>799</v>
      </c>
      <c r="F424" s="217" t="s">
        <v>882</v>
      </c>
      <c r="G424" s="217">
        <v>10</v>
      </c>
    </row>
    <row r="425" spans="2:7" hidden="1" x14ac:dyDescent="0.25">
      <c r="B425" s="214" t="s">
        <v>914</v>
      </c>
      <c r="C425" s="218" t="s">
        <v>114</v>
      </c>
      <c r="D425" s="218" t="s">
        <v>12</v>
      </c>
      <c r="E425" s="219" t="s">
        <v>799</v>
      </c>
      <c r="F425" s="217" t="s">
        <v>883</v>
      </c>
      <c r="G425" s="217">
        <v>7</v>
      </c>
    </row>
    <row r="426" spans="2:7" hidden="1" x14ac:dyDescent="0.25">
      <c r="B426" s="214" t="s">
        <v>914</v>
      </c>
      <c r="C426" s="218" t="s">
        <v>114</v>
      </c>
      <c r="D426" s="218" t="s">
        <v>12</v>
      </c>
      <c r="E426" s="219" t="s">
        <v>799</v>
      </c>
      <c r="F426" s="217" t="s">
        <v>884</v>
      </c>
      <c r="G426" s="217">
        <v>9</v>
      </c>
    </row>
    <row r="427" spans="2:7" hidden="1" x14ac:dyDescent="0.25">
      <c r="B427" s="214" t="s">
        <v>914</v>
      </c>
      <c r="C427" s="218" t="s">
        <v>114</v>
      </c>
      <c r="D427" s="218" t="s">
        <v>12</v>
      </c>
      <c r="E427" s="219" t="s">
        <v>799</v>
      </c>
      <c r="F427" s="217" t="s">
        <v>885</v>
      </c>
      <c r="G427" s="217">
        <v>10</v>
      </c>
    </row>
    <row r="428" spans="2:7" hidden="1" x14ac:dyDescent="0.25">
      <c r="B428" s="214" t="s">
        <v>914</v>
      </c>
      <c r="C428" s="218" t="s">
        <v>114</v>
      </c>
      <c r="D428" s="218" t="s">
        <v>12</v>
      </c>
      <c r="E428" s="218" t="s">
        <v>798</v>
      </c>
      <c r="F428" s="217" t="s">
        <v>886</v>
      </c>
      <c r="G428" s="217">
        <v>10</v>
      </c>
    </row>
    <row r="429" spans="2:7" hidden="1" x14ac:dyDescent="0.25">
      <c r="B429" s="214" t="s">
        <v>914</v>
      </c>
      <c r="C429" s="218" t="s">
        <v>114</v>
      </c>
      <c r="D429" s="218" t="s">
        <v>12</v>
      </c>
      <c r="E429" s="218" t="s">
        <v>797</v>
      </c>
      <c r="F429" s="220" t="s">
        <v>887</v>
      </c>
      <c r="G429" s="220">
        <v>7</v>
      </c>
    </row>
    <row r="430" spans="2:7" hidden="1" x14ac:dyDescent="0.25">
      <c r="B430" s="214" t="s">
        <v>914</v>
      </c>
      <c r="C430" s="218" t="s">
        <v>114</v>
      </c>
      <c r="D430" s="218" t="s">
        <v>12</v>
      </c>
      <c r="E430" s="218" t="s">
        <v>797</v>
      </c>
      <c r="F430" s="220" t="s">
        <v>888</v>
      </c>
      <c r="G430" s="220">
        <v>8</v>
      </c>
    </row>
    <row r="431" spans="2:7" hidden="1" x14ac:dyDescent="0.25">
      <c r="B431" s="214" t="s">
        <v>914</v>
      </c>
      <c r="C431" s="218" t="s">
        <v>114</v>
      </c>
      <c r="D431" s="218" t="s">
        <v>12</v>
      </c>
      <c r="E431" s="218" t="s">
        <v>788</v>
      </c>
      <c r="F431" s="220" t="s">
        <v>889</v>
      </c>
      <c r="G431" s="220">
        <v>5</v>
      </c>
    </row>
    <row r="432" spans="2:7" hidden="1" x14ac:dyDescent="0.25">
      <c r="B432" s="214" t="s">
        <v>914</v>
      </c>
      <c r="C432" s="218" t="s">
        <v>114</v>
      </c>
      <c r="D432" s="218" t="s">
        <v>12</v>
      </c>
      <c r="E432" s="218" t="s">
        <v>788</v>
      </c>
      <c r="F432" s="220" t="s">
        <v>890</v>
      </c>
      <c r="G432" s="220">
        <v>6</v>
      </c>
    </row>
    <row r="433" spans="2:7" hidden="1" x14ac:dyDescent="0.25">
      <c r="B433" s="214" t="s">
        <v>914</v>
      </c>
      <c r="C433" s="218" t="s">
        <v>114</v>
      </c>
      <c r="D433" s="218" t="s">
        <v>12</v>
      </c>
      <c r="E433" s="218" t="s">
        <v>787</v>
      </c>
      <c r="F433" s="220" t="s">
        <v>891</v>
      </c>
      <c r="G433" s="220">
        <v>0</v>
      </c>
    </row>
    <row r="434" spans="2:7" hidden="1" x14ac:dyDescent="0.25">
      <c r="B434" s="214" t="s">
        <v>914</v>
      </c>
      <c r="C434" s="218" t="s">
        <v>114</v>
      </c>
      <c r="D434" s="218" t="s">
        <v>12</v>
      </c>
      <c r="E434" s="218" t="s">
        <v>787</v>
      </c>
      <c r="F434" s="220" t="s">
        <v>892</v>
      </c>
      <c r="G434" s="220">
        <v>0</v>
      </c>
    </row>
    <row r="435" spans="2:7" hidden="1" x14ac:dyDescent="0.25">
      <c r="B435" s="214" t="s">
        <v>914</v>
      </c>
      <c r="C435" s="218" t="s">
        <v>114</v>
      </c>
      <c r="D435" s="218" t="s">
        <v>12</v>
      </c>
      <c r="E435" s="218" t="s">
        <v>786</v>
      </c>
      <c r="F435" s="220" t="s">
        <v>893</v>
      </c>
      <c r="G435" s="220">
        <v>0</v>
      </c>
    </row>
    <row r="436" spans="2:7" hidden="1" x14ac:dyDescent="0.25">
      <c r="B436" s="214" t="s">
        <v>914</v>
      </c>
      <c r="C436" s="218" t="s">
        <v>114</v>
      </c>
      <c r="D436" s="218" t="s">
        <v>12</v>
      </c>
      <c r="E436" s="218" t="s">
        <v>786</v>
      </c>
      <c r="F436" s="220" t="s">
        <v>894</v>
      </c>
      <c r="G436" s="220">
        <v>0</v>
      </c>
    </row>
    <row r="437" spans="2:7" hidden="1" x14ac:dyDescent="0.25">
      <c r="B437" s="214" t="s">
        <v>914</v>
      </c>
      <c r="C437" s="218" t="s">
        <v>114</v>
      </c>
      <c r="D437" s="218" t="s">
        <v>34</v>
      </c>
      <c r="E437" s="219" t="s">
        <v>799</v>
      </c>
      <c r="F437" s="271" t="s">
        <v>895</v>
      </c>
      <c r="G437" s="271">
        <v>10</v>
      </c>
    </row>
    <row r="438" spans="2:7" hidden="1" x14ac:dyDescent="0.25">
      <c r="B438" s="214" t="s">
        <v>914</v>
      </c>
      <c r="C438" s="218" t="s">
        <v>114</v>
      </c>
      <c r="D438" s="218" t="s">
        <v>34</v>
      </c>
      <c r="E438" s="219" t="s">
        <v>799</v>
      </c>
      <c r="F438" s="271" t="s">
        <v>896</v>
      </c>
      <c r="G438" s="271">
        <v>10</v>
      </c>
    </row>
    <row r="439" spans="2:7" hidden="1" x14ac:dyDescent="0.25">
      <c r="B439" s="214" t="s">
        <v>914</v>
      </c>
      <c r="C439" s="218" t="s">
        <v>114</v>
      </c>
      <c r="D439" s="218" t="s">
        <v>41</v>
      </c>
      <c r="E439" s="219" t="s">
        <v>799</v>
      </c>
      <c r="F439" s="271" t="s">
        <v>897</v>
      </c>
      <c r="G439" s="271">
        <v>5</v>
      </c>
    </row>
    <row r="440" spans="2:7" hidden="1" x14ac:dyDescent="0.25">
      <c r="B440" s="214" t="s">
        <v>914</v>
      </c>
      <c r="C440" s="218" t="s">
        <v>114</v>
      </c>
      <c r="D440" s="218" t="s">
        <v>41</v>
      </c>
      <c r="E440" s="219" t="s">
        <v>799</v>
      </c>
      <c r="F440" s="271" t="s">
        <v>898</v>
      </c>
      <c r="G440" s="271">
        <v>5</v>
      </c>
    </row>
    <row r="441" spans="2:7" hidden="1" x14ac:dyDescent="0.25">
      <c r="B441" s="214" t="s">
        <v>914</v>
      </c>
      <c r="C441" s="218" t="s">
        <v>114</v>
      </c>
      <c r="D441" s="218" t="s">
        <v>46</v>
      </c>
      <c r="E441" s="219" t="s">
        <v>799</v>
      </c>
      <c r="F441" s="271" t="s">
        <v>899</v>
      </c>
      <c r="G441" s="271">
        <v>4</v>
      </c>
    </row>
    <row r="442" spans="2:7" hidden="1" x14ac:dyDescent="0.25">
      <c r="B442" s="267" t="s">
        <v>916</v>
      </c>
      <c r="C442" s="229" t="s">
        <v>11</v>
      </c>
      <c r="D442" s="229" t="s">
        <v>12</v>
      </c>
      <c r="E442" s="230" t="s">
        <v>799</v>
      </c>
      <c r="F442" s="231" t="s">
        <v>812</v>
      </c>
      <c r="G442" s="231">
        <v>10</v>
      </c>
    </row>
    <row r="443" spans="2:7" hidden="1" x14ac:dyDescent="0.25">
      <c r="B443" s="267" t="s">
        <v>916</v>
      </c>
      <c r="C443" s="147" t="s">
        <v>11</v>
      </c>
      <c r="D443" s="147" t="s">
        <v>12</v>
      </c>
      <c r="E443" s="232" t="s">
        <v>799</v>
      </c>
      <c r="F443" s="231" t="s">
        <v>813</v>
      </c>
      <c r="G443" s="231">
        <v>10</v>
      </c>
    </row>
    <row r="444" spans="2:7" hidden="1" x14ac:dyDescent="0.25">
      <c r="B444" s="267" t="s">
        <v>916</v>
      </c>
      <c r="C444" s="147" t="s">
        <v>11</v>
      </c>
      <c r="D444" s="147" t="s">
        <v>12</v>
      </c>
      <c r="E444" s="232" t="s">
        <v>799</v>
      </c>
      <c r="F444" s="231" t="s">
        <v>814</v>
      </c>
      <c r="G444" s="231">
        <v>9</v>
      </c>
    </row>
    <row r="445" spans="2:7" hidden="1" x14ac:dyDescent="0.25">
      <c r="B445" s="267" t="s">
        <v>916</v>
      </c>
      <c r="C445" s="147" t="s">
        <v>11</v>
      </c>
      <c r="D445" s="147" t="s">
        <v>12</v>
      </c>
      <c r="E445" s="232" t="s">
        <v>799</v>
      </c>
      <c r="F445" s="231" t="s">
        <v>815</v>
      </c>
      <c r="G445" s="231">
        <v>10</v>
      </c>
    </row>
    <row r="446" spans="2:7" hidden="1" x14ac:dyDescent="0.25">
      <c r="B446" s="267" t="s">
        <v>916</v>
      </c>
      <c r="C446" s="147" t="s">
        <v>11</v>
      </c>
      <c r="D446" s="147" t="s">
        <v>12</v>
      </c>
      <c r="E446" s="232" t="s">
        <v>799</v>
      </c>
      <c r="F446" s="231" t="s">
        <v>816</v>
      </c>
      <c r="G446" s="231">
        <v>10</v>
      </c>
    </row>
    <row r="447" spans="2:7" hidden="1" x14ac:dyDescent="0.25">
      <c r="B447" s="267" t="s">
        <v>916</v>
      </c>
      <c r="C447" s="147" t="s">
        <v>11</v>
      </c>
      <c r="D447" s="147" t="s">
        <v>12</v>
      </c>
      <c r="E447" s="232" t="s">
        <v>799</v>
      </c>
      <c r="F447" s="231" t="s">
        <v>817</v>
      </c>
      <c r="G447" s="231">
        <v>6</v>
      </c>
    </row>
    <row r="448" spans="2:7" hidden="1" x14ac:dyDescent="0.25">
      <c r="B448" s="267" t="s">
        <v>916</v>
      </c>
      <c r="C448" s="147" t="s">
        <v>11</v>
      </c>
      <c r="D448" s="147" t="s">
        <v>12</v>
      </c>
      <c r="E448" s="232" t="s">
        <v>799</v>
      </c>
      <c r="F448" s="231" t="s">
        <v>818</v>
      </c>
      <c r="G448" s="231">
        <v>10</v>
      </c>
    </row>
    <row r="449" spans="2:7" hidden="1" x14ac:dyDescent="0.25">
      <c r="B449" s="267" t="s">
        <v>916</v>
      </c>
      <c r="C449" s="147" t="s">
        <v>11</v>
      </c>
      <c r="D449" s="147" t="s">
        <v>12</v>
      </c>
      <c r="E449" s="147" t="s">
        <v>798</v>
      </c>
      <c r="F449" s="231" t="s">
        <v>819</v>
      </c>
      <c r="G449" s="231">
        <v>9</v>
      </c>
    </row>
    <row r="450" spans="2:7" hidden="1" x14ac:dyDescent="0.25">
      <c r="B450" s="267" t="s">
        <v>916</v>
      </c>
      <c r="C450" s="147" t="s">
        <v>11</v>
      </c>
      <c r="D450" s="147" t="s">
        <v>12</v>
      </c>
      <c r="E450" s="147" t="s">
        <v>797</v>
      </c>
      <c r="F450" s="233" t="s">
        <v>820</v>
      </c>
      <c r="G450" s="233">
        <v>6</v>
      </c>
    </row>
    <row r="451" spans="2:7" hidden="1" x14ac:dyDescent="0.25">
      <c r="B451" s="267" t="s">
        <v>916</v>
      </c>
      <c r="C451" s="147" t="s">
        <v>11</v>
      </c>
      <c r="D451" s="147" t="s">
        <v>12</v>
      </c>
      <c r="E451" s="147" t="s">
        <v>797</v>
      </c>
      <c r="F451" s="233" t="s">
        <v>821</v>
      </c>
      <c r="G451" s="233">
        <v>9</v>
      </c>
    </row>
    <row r="452" spans="2:7" hidden="1" x14ac:dyDescent="0.25">
      <c r="B452" s="267" t="s">
        <v>916</v>
      </c>
      <c r="C452" s="147" t="s">
        <v>11</v>
      </c>
      <c r="D452" s="147" t="s">
        <v>12</v>
      </c>
      <c r="E452" s="147" t="s">
        <v>788</v>
      </c>
      <c r="F452" s="233" t="s">
        <v>822</v>
      </c>
      <c r="G452" s="233">
        <v>6</v>
      </c>
    </row>
    <row r="453" spans="2:7" hidden="1" x14ac:dyDescent="0.25">
      <c r="B453" s="267" t="s">
        <v>916</v>
      </c>
      <c r="C453" s="147" t="s">
        <v>11</v>
      </c>
      <c r="D453" s="147" t="s">
        <v>12</v>
      </c>
      <c r="E453" s="147" t="s">
        <v>788</v>
      </c>
      <c r="F453" s="233" t="s">
        <v>823</v>
      </c>
      <c r="G453" s="233">
        <v>0</v>
      </c>
    </row>
    <row r="454" spans="2:7" hidden="1" x14ac:dyDescent="0.25">
      <c r="B454" s="267" t="s">
        <v>916</v>
      </c>
      <c r="C454" s="147" t="s">
        <v>11</v>
      </c>
      <c r="D454" s="147" t="s">
        <v>12</v>
      </c>
      <c r="E454" s="147" t="s">
        <v>787</v>
      </c>
      <c r="F454" s="233" t="s">
        <v>824</v>
      </c>
      <c r="G454" s="233">
        <v>0</v>
      </c>
    </row>
    <row r="455" spans="2:7" hidden="1" x14ac:dyDescent="0.25">
      <c r="B455" s="267" t="s">
        <v>916</v>
      </c>
      <c r="C455" s="147" t="s">
        <v>11</v>
      </c>
      <c r="D455" s="147" t="s">
        <v>12</v>
      </c>
      <c r="E455" s="147" t="s">
        <v>787</v>
      </c>
      <c r="F455" s="233" t="s">
        <v>825</v>
      </c>
      <c r="G455" s="233">
        <v>0</v>
      </c>
    </row>
    <row r="456" spans="2:7" hidden="1" x14ac:dyDescent="0.25">
      <c r="B456" s="267" t="s">
        <v>916</v>
      </c>
      <c r="C456" s="147" t="s">
        <v>11</v>
      </c>
      <c r="D456" s="147" t="s">
        <v>12</v>
      </c>
      <c r="E456" s="147" t="s">
        <v>786</v>
      </c>
      <c r="F456" s="233" t="s">
        <v>826</v>
      </c>
      <c r="G456" s="233">
        <v>0</v>
      </c>
    </row>
    <row r="457" spans="2:7" hidden="1" x14ac:dyDescent="0.25">
      <c r="B457" s="267" t="s">
        <v>916</v>
      </c>
      <c r="C457" s="147" t="s">
        <v>11</v>
      </c>
      <c r="D457" s="147" t="s">
        <v>12</v>
      </c>
      <c r="E457" s="147" t="s">
        <v>786</v>
      </c>
      <c r="F457" s="233" t="s">
        <v>827</v>
      </c>
      <c r="G457" s="233">
        <v>0</v>
      </c>
    </row>
    <row r="458" spans="2:7" hidden="1" x14ac:dyDescent="0.25">
      <c r="B458" s="267" t="s">
        <v>916</v>
      </c>
      <c r="C458" s="147" t="s">
        <v>11</v>
      </c>
      <c r="D458" s="147" t="s">
        <v>34</v>
      </c>
      <c r="E458" s="232" t="s">
        <v>799</v>
      </c>
      <c r="F458" s="231" t="s">
        <v>828</v>
      </c>
      <c r="G458" s="231">
        <v>10</v>
      </c>
    </row>
    <row r="459" spans="2:7" hidden="1" x14ac:dyDescent="0.25">
      <c r="B459" s="267" t="s">
        <v>916</v>
      </c>
      <c r="C459" s="147" t="s">
        <v>11</v>
      </c>
      <c r="D459" s="147" t="s">
        <v>34</v>
      </c>
      <c r="E459" s="232" t="s">
        <v>799</v>
      </c>
      <c r="F459" s="233" t="s">
        <v>829</v>
      </c>
      <c r="G459" s="233">
        <v>10</v>
      </c>
    </row>
    <row r="460" spans="2:7" hidden="1" x14ac:dyDescent="0.25">
      <c r="B460" s="267" t="s">
        <v>916</v>
      </c>
      <c r="C460" s="147" t="s">
        <v>11</v>
      </c>
      <c r="D460" s="147" t="s">
        <v>41</v>
      </c>
      <c r="E460" s="232" t="s">
        <v>799</v>
      </c>
      <c r="F460" s="233" t="s">
        <v>830</v>
      </c>
      <c r="G460" s="233">
        <v>5</v>
      </c>
    </row>
    <row r="461" spans="2:7" hidden="1" x14ac:dyDescent="0.25">
      <c r="B461" s="267" t="s">
        <v>916</v>
      </c>
      <c r="C461" s="147" t="s">
        <v>11</v>
      </c>
      <c r="D461" s="147" t="s">
        <v>41</v>
      </c>
      <c r="E461" s="232" t="s">
        <v>799</v>
      </c>
      <c r="F461" s="233" t="s">
        <v>831</v>
      </c>
      <c r="G461" s="233">
        <v>5</v>
      </c>
    </row>
    <row r="462" spans="2:7" hidden="1" x14ac:dyDescent="0.25">
      <c r="B462" s="267" t="s">
        <v>916</v>
      </c>
      <c r="C462" s="147" t="s">
        <v>11</v>
      </c>
      <c r="D462" s="147" t="s">
        <v>41</v>
      </c>
      <c r="E462" s="232" t="s">
        <v>799</v>
      </c>
      <c r="F462" s="233" t="s">
        <v>832</v>
      </c>
      <c r="G462" s="233">
        <v>5</v>
      </c>
    </row>
    <row r="463" spans="2:7" hidden="1" x14ac:dyDescent="0.25">
      <c r="B463" s="267" t="s">
        <v>916</v>
      </c>
      <c r="C463" s="147" t="s">
        <v>11</v>
      </c>
      <c r="D463" s="147" t="s">
        <v>46</v>
      </c>
      <c r="E463" s="232" t="s">
        <v>799</v>
      </c>
      <c r="F463" s="233" t="s">
        <v>833</v>
      </c>
      <c r="G463" s="233">
        <v>4</v>
      </c>
    </row>
    <row r="464" spans="2:7" hidden="1" x14ac:dyDescent="0.25">
      <c r="B464" s="267" t="s">
        <v>916</v>
      </c>
      <c r="C464" s="147" t="s">
        <v>48</v>
      </c>
      <c r="D464" s="147" t="s">
        <v>12</v>
      </c>
      <c r="E464" s="232" t="s">
        <v>799</v>
      </c>
      <c r="F464" s="233" t="s">
        <v>834</v>
      </c>
      <c r="G464" s="233">
        <v>10</v>
      </c>
    </row>
    <row r="465" spans="2:7" hidden="1" x14ac:dyDescent="0.25">
      <c r="B465" s="267" t="s">
        <v>916</v>
      </c>
      <c r="C465" s="147" t="s">
        <v>48</v>
      </c>
      <c r="D465" s="147" t="s">
        <v>12</v>
      </c>
      <c r="E465" s="232" t="s">
        <v>799</v>
      </c>
      <c r="F465" s="231" t="s">
        <v>835</v>
      </c>
      <c r="G465" s="231">
        <v>10</v>
      </c>
    </row>
    <row r="466" spans="2:7" hidden="1" x14ac:dyDescent="0.25">
      <c r="B466" s="267" t="s">
        <v>916</v>
      </c>
      <c r="C466" s="147" t="s">
        <v>48</v>
      </c>
      <c r="D466" s="147" t="s">
        <v>12</v>
      </c>
      <c r="E466" s="232" t="s">
        <v>799</v>
      </c>
      <c r="F466" s="231" t="s">
        <v>836</v>
      </c>
      <c r="G466" s="231">
        <v>10</v>
      </c>
    </row>
    <row r="467" spans="2:7" hidden="1" x14ac:dyDescent="0.25">
      <c r="B467" s="267" t="s">
        <v>916</v>
      </c>
      <c r="C467" s="147" t="s">
        <v>48</v>
      </c>
      <c r="D467" s="147" t="s">
        <v>12</v>
      </c>
      <c r="E467" s="232" t="s">
        <v>799</v>
      </c>
      <c r="F467" s="231" t="s">
        <v>837</v>
      </c>
      <c r="G467" s="231">
        <v>9</v>
      </c>
    </row>
    <row r="468" spans="2:7" hidden="1" x14ac:dyDescent="0.25">
      <c r="B468" s="267" t="s">
        <v>916</v>
      </c>
      <c r="C468" s="147" t="s">
        <v>48</v>
      </c>
      <c r="D468" s="147" t="s">
        <v>12</v>
      </c>
      <c r="E468" s="232" t="s">
        <v>799</v>
      </c>
      <c r="F468" s="231" t="s">
        <v>838</v>
      </c>
      <c r="G468" s="231">
        <v>8</v>
      </c>
    </row>
    <row r="469" spans="2:7" hidden="1" x14ac:dyDescent="0.25">
      <c r="B469" s="267" t="s">
        <v>916</v>
      </c>
      <c r="C469" s="147" t="s">
        <v>48</v>
      </c>
      <c r="D469" s="147" t="s">
        <v>12</v>
      </c>
      <c r="E469" s="232" t="s">
        <v>799</v>
      </c>
      <c r="F469" s="231" t="s">
        <v>839</v>
      </c>
      <c r="G469" s="231">
        <v>10</v>
      </c>
    </row>
    <row r="470" spans="2:7" hidden="1" x14ac:dyDescent="0.25">
      <c r="B470" s="267" t="s">
        <v>916</v>
      </c>
      <c r="C470" s="147" t="s">
        <v>48</v>
      </c>
      <c r="D470" s="147" t="s">
        <v>12</v>
      </c>
      <c r="E470" s="232" t="s">
        <v>799</v>
      </c>
      <c r="F470" s="231" t="s">
        <v>840</v>
      </c>
      <c r="G470" s="231">
        <v>9</v>
      </c>
    </row>
    <row r="471" spans="2:7" hidden="1" x14ac:dyDescent="0.25">
      <c r="B471" s="267" t="s">
        <v>916</v>
      </c>
      <c r="C471" s="147" t="s">
        <v>48</v>
      </c>
      <c r="D471" s="147" t="s">
        <v>12</v>
      </c>
      <c r="E471" s="232" t="s">
        <v>799</v>
      </c>
      <c r="F471" s="231" t="s">
        <v>841</v>
      </c>
      <c r="G471" s="231">
        <v>8</v>
      </c>
    </row>
    <row r="472" spans="2:7" hidden="1" x14ac:dyDescent="0.25">
      <c r="B472" s="267" t="s">
        <v>916</v>
      </c>
      <c r="C472" s="147" t="s">
        <v>48</v>
      </c>
      <c r="D472" s="147" t="s">
        <v>12</v>
      </c>
      <c r="E472" s="147" t="s">
        <v>798</v>
      </c>
      <c r="F472" s="231" t="s">
        <v>842</v>
      </c>
      <c r="G472" s="231">
        <v>9</v>
      </c>
    </row>
    <row r="473" spans="2:7" hidden="1" x14ac:dyDescent="0.25">
      <c r="B473" s="267" t="s">
        <v>916</v>
      </c>
      <c r="C473" s="147" t="s">
        <v>48</v>
      </c>
      <c r="D473" s="147" t="s">
        <v>12</v>
      </c>
      <c r="E473" s="147" t="s">
        <v>798</v>
      </c>
      <c r="F473" s="231" t="s">
        <v>843</v>
      </c>
      <c r="G473" s="231">
        <v>10</v>
      </c>
    </row>
    <row r="474" spans="2:7" hidden="1" x14ac:dyDescent="0.25">
      <c r="B474" s="267" t="s">
        <v>916</v>
      </c>
      <c r="C474" s="147" t="s">
        <v>48</v>
      </c>
      <c r="D474" s="147" t="s">
        <v>12</v>
      </c>
      <c r="E474" s="147" t="s">
        <v>797</v>
      </c>
      <c r="F474" s="233" t="s">
        <v>844</v>
      </c>
      <c r="G474" s="233">
        <v>9</v>
      </c>
    </row>
    <row r="475" spans="2:7" hidden="1" x14ac:dyDescent="0.25">
      <c r="B475" s="267" t="s">
        <v>916</v>
      </c>
      <c r="C475" s="147" t="s">
        <v>48</v>
      </c>
      <c r="D475" s="147" t="s">
        <v>12</v>
      </c>
      <c r="E475" s="147" t="s">
        <v>797</v>
      </c>
      <c r="F475" s="233" t="s">
        <v>845</v>
      </c>
      <c r="G475" s="233">
        <v>7</v>
      </c>
    </row>
    <row r="476" spans="2:7" hidden="1" x14ac:dyDescent="0.25">
      <c r="B476" s="267" t="s">
        <v>916</v>
      </c>
      <c r="C476" s="147" t="s">
        <v>48</v>
      </c>
      <c r="D476" s="147" t="s">
        <v>12</v>
      </c>
      <c r="E476" s="147" t="s">
        <v>788</v>
      </c>
      <c r="F476" s="233" t="s">
        <v>846</v>
      </c>
      <c r="G476" s="233">
        <v>5</v>
      </c>
    </row>
    <row r="477" spans="2:7" hidden="1" x14ac:dyDescent="0.25">
      <c r="B477" s="267" t="s">
        <v>916</v>
      </c>
      <c r="C477" s="147" t="s">
        <v>48</v>
      </c>
      <c r="D477" s="147" t="s">
        <v>12</v>
      </c>
      <c r="E477" s="147" t="s">
        <v>788</v>
      </c>
      <c r="F477" s="233" t="s">
        <v>847</v>
      </c>
      <c r="G477" s="233">
        <v>0</v>
      </c>
    </row>
    <row r="478" spans="2:7" hidden="1" x14ac:dyDescent="0.25">
      <c r="B478" s="267" t="s">
        <v>916</v>
      </c>
      <c r="C478" s="147" t="s">
        <v>48</v>
      </c>
      <c r="D478" s="147" t="s">
        <v>12</v>
      </c>
      <c r="E478" s="147" t="s">
        <v>787</v>
      </c>
      <c r="F478" s="233" t="s">
        <v>848</v>
      </c>
      <c r="G478" s="233">
        <v>0</v>
      </c>
    </row>
    <row r="479" spans="2:7" hidden="1" x14ac:dyDescent="0.25">
      <c r="B479" s="267" t="s">
        <v>916</v>
      </c>
      <c r="C479" s="147" t="s">
        <v>48</v>
      </c>
      <c r="D479" s="147" t="s">
        <v>12</v>
      </c>
      <c r="E479" s="147" t="s">
        <v>787</v>
      </c>
      <c r="F479" s="233" t="s">
        <v>849</v>
      </c>
      <c r="G479" s="233">
        <v>0</v>
      </c>
    </row>
    <row r="480" spans="2:7" hidden="1" x14ac:dyDescent="0.25">
      <c r="B480" s="267" t="s">
        <v>916</v>
      </c>
      <c r="C480" s="147" t="s">
        <v>48</v>
      </c>
      <c r="D480" s="147" t="s">
        <v>12</v>
      </c>
      <c r="E480" s="147" t="s">
        <v>786</v>
      </c>
      <c r="F480" s="233" t="s">
        <v>850</v>
      </c>
      <c r="G480" s="233">
        <v>0</v>
      </c>
    </row>
    <row r="481" spans="2:7" hidden="1" x14ac:dyDescent="0.25">
      <c r="B481" s="267" t="s">
        <v>916</v>
      </c>
      <c r="C481" s="147" t="s">
        <v>48</v>
      </c>
      <c r="D481" s="147" t="s">
        <v>12</v>
      </c>
      <c r="E481" s="147" t="s">
        <v>786</v>
      </c>
      <c r="F481" s="233" t="s">
        <v>851</v>
      </c>
      <c r="G481" s="233">
        <v>0</v>
      </c>
    </row>
    <row r="482" spans="2:7" hidden="1" x14ac:dyDescent="0.25">
      <c r="B482" s="267" t="s">
        <v>916</v>
      </c>
      <c r="C482" s="147" t="s">
        <v>48</v>
      </c>
      <c r="D482" s="147" t="s">
        <v>34</v>
      </c>
      <c r="E482" s="232" t="s">
        <v>799</v>
      </c>
      <c r="F482" s="231" t="s">
        <v>852</v>
      </c>
      <c r="G482" s="231">
        <v>10</v>
      </c>
    </row>
    <row r="483" spans="2:7" hidden="1" x14ac:dyDescent="0.25">
      <c r="B483" s="267" t="s">
        <v>916</v>
      </c>
      <c r="C483" s="147" t="s">
        <v>48</v>
      </c>
      <c r="D483" s="147" t="s">
        <v>34</v>
      </c>
      <c r="E483" s="232" t="s">
        <v>799</v>
      </c>
      <c r="F483" s="231" t="s">
        <v>853</v>
      </c>
      <c r="G483" s="231">
        <v>10</v>
      </c>
    </row>
    <row r="484" spans="2:7" hidden="1" x14ac:dyDescent="0.25">
      <c r="B484" s="267" t="s">
        <v>916</v>
      </c>
      <c r="C484" s="147" t="s">
        <v>48</v>
      </c>
      <c r="D484" s="147" t="s">
        <v>41</v>
      </c>
      <c r="E484" s="232" t="s">
        <v>799</v>
      </c>
      <c r="F484" s="231" t="s">
        <v>854</v>
      </c>
      <c r="G484" s="231">
        <v>5</v>
      </c>
    </row>
    <row r="485" spans="2:7" hidden="1" x14ac:dyDescent="0.25">
      <c r="B485" s="267" t="s">
        <v>916</v>
      </c>
      <c r="C485" s="147" t="s">
        <v>48</v>
      </c>
      <c r="D485" s="147" t="s">
        <v>41</v>
      </c>
      <c r="E485" s="232" t="s">
        <v>799</v>
      </c>
      <c r="F485" s="231" t="s">
        <v>855</v>
      </c>
      <c r="G485" s="231">
        <v>5</v>
      </c>
    </row>
    <row r="486" spans="2:7" hidden="1" x14ac:dyDescent="0.25">
      <c r="B486" s="267" t="s">
        <v>916</v>
      </c>
      <c r="C486" s="147" t="s">
        <v>48</v>
      </c>
      <c r="D486" s="147" t="s">
        <v>46</v>
      </c>
      <c r="E486" s="232" t="s">
        <v>799</v>
      </c>
      <c r="F486" s="231" t="s">
        <v>856</v>
      </c>
      <c r="G486" s="231">
        <v>4</v>
      </c>
    </row>
    <row r="487" spans="2:7" hidden="1" x14ac:dyDescent="0.25">
      <c r="B487" s="267" t="s">
        <v>916</v>
      </c>
      <c r="C487" s="147" t="s">
        <v>83</v>
      </c>
      <c r="D487" s="147" t="s">
        <v>12</v>
      </c>
      <c r="E487" s="232" t="s">
        <v>799</v>
      </c>
      <c r="F487" s="231" t="s">
        <v>857</v>
      </c>
      <c r="G487" s="231">
        <v>9</v>
      </c>
    </row>
    <row r="488" spans="2:7" hidden="1" x14ac:dyDescent="0.25">
      <c r="B488" s="267" t="s">
        <v>916</v>
      </c>
      <c r="C488" s="147" t="s">
        <v>83</v>
      </c>
      <c r="D488" s="147" t="s">
        <v>12</v>
      </c>
      <c r="E488" s="232" t="s">
        <v>799</v>
      </c>
      <c r="F488" s="231" t="s">
        <v>858</v>
      </c>
      <c r="G488" s="231">
        <v>10</v>
      </c>
    </row>
    <row r="489" spans="2:7" hidden="1" x14ac:dyDescent="0.25">
      <c r="B489" s="267" t="s">
        <v>916</v>
      </c>
      <c r="C489" s="147" t="s">
        <v>83</v>
      </c>
      <c r="D489" s="147" t="s">
        <v>12</v>
      </c>
      <c r="E489" s="232" t="s">
        <v>799</v>
      </c>
      <c r="F489" s="231" t="s">
        <v>859</v>
      </c>
      <c r="G489" s="231">
        <v>10</v>
      </c>
    </row>
    <row r="490" spans="2:7" hidden="1" x14ac:dyDescent="0.25">
      <c r="B490" s="267" t="s">
        <v>916</v>
      </c>
      <c r="C490" s="147" t="s">
        <v>83</v>
      </c>
      <c r="D490" s="147" t="s">
        <v>12</v>
      </c>
      <c r="E490" s="232" t="s">
        <v>799</v>
      </c>
      <c r="F490" s="231" t="s">
        <v>860</v>
      </c>
      <c r="G490" s="231">
        <v>10</v>
      </c>
    </row>
    <row r="491" spans="2:7" hidden="1" x14ac:dyDescent="0.25">
      <c r="B491" s="267" t="s">
        <v>916</v>
      </c>
      <c r="C491" s="147" t="s">
        <v>83</v>
      </c>
      <c r="D491" s="147" t="s">
        <v>12</v>
      </c>
      <c r="E491" s="232" t="s">
        <v>799</v>
      </c>
      <c r="F491" s="231" t="s">
        <v>861</v>
      </c>
      <c r="G491" s="231">
        <v>9</v>
      </c>
    </row>
    <row r="492" spans="2:7" hidden="1" x14ac:dyDescent="0.25">
      <c r="B492" s="267" t="s">
        <v>916</v>
      </c>
      <c r="C492" s="147" t="s">
        <v>83</v>
      </c>
      <c r="D492" s="147" t="s">
        <v>12</v>
      </c>
      <c r="E492" s="232" t="s">
        <v>799</v>
      </c>
      <c r="F492" s="231" t="s">
        <v>862</v>
      </c>
      <c r="G492" s="231">
        <v>10</v>
      </c>
    </row>
    <row r="493" spans="2:7" hidden="1" x14ac:dyDescent="0.25">
      <c r="B493" s="267" t="s">
        <v>916</v>
      </c>
      <c r="C493" s="147" t="s">
        <v>83</v>
      </c>
      <c r="D493" s="147" t="s">
        <v>12</v>
      </c>
      <c r="E493" s="232" t="s">
        <v>799</v>
      </c>
      <c r="F493" s="231" t="s">
        <v>863</v>
      </c>
      <c r="G493" s="231">
        <v>6</v>
      </c>
    </row>
    <row r="494" spans="2:7" hidden="1" x14ac:dyDescent="0.25">
      <c r="B494" s="267" t="s">
        <v>916</v>
      </c>
      <c r="C494" s="147" t="s">
        <v>83</v>
      </c>
      <c r="D494" s="147" t="s">
        <v>12</v>
      </c>
      <c r="E494" s="232" t="s">
        <v>799</v>
      </c>
      <c r="F494" s="231" t="s">
        <v>864</v>
      </c>
      <c r="G494" s="231">
        <v>8</v>
      </c>
    </row>
    <row r="495" spans="2:7" hidden="1" x14ac:dyDescent="0.25">
      <c r="B495" s="267" t="s">
        <v>916</v>
      </c>
      <c r="C495" s="147" t="s">
        <v>83</v>
      </c>
      <c r="D495" s="147" t="s">
        <v>12</v>
      </c>
      <c r="E495" s="147" t="s">
        <v>798</v>
      </c>
      <c r="F495" s="231" t="s">
        <v>865</v>
      </c>
      <c r="G495" s="231">
        <v>9</v>
      </c>
    </row>
    <row r="496" spans="2:7" hidden="1" x14ac:dyDescent="0.25">
      <c r="B496" s="267" t="s">
        <v>916</v>
      </c>
      <c r="C496" s="147" t="s">
        <v>83</v>
      </c>
      <c r="D496" s="147" t="s">
        <v>12</v>
      </c>
      <c r="E496" s="147" t="s">
        <v>798</v>
      </c>
      <c r="F496" s="231" t="s">
        <v>866</v>
      </c>
      <c r="G496" s="231">
        <v>7</v>
      </c>
    </row>
    <row r="497" spans="2:7" hidden="1" x14ac:dyDescent="0.25">
      <c r="B497" s="267" t="s">
        <v>916</v>
      </c>
      <c r="C497" s="147" t="s">
        <v>83</v>
      </c>
      <c r="D497" s="147" t="s">
        <v>12</v>
      </c>
      <c r="E497" s="147" t="s">
        <v>797</v>
      </c>
      <c r="F497" s="233" t="s">
        <v>867</v>
      </c>
      <c r="G497" s="233">
        <v>9</v>
      </c>
    </row>
    <row r="498" spans="2:7" hidden="1" x14ac:dyDescent="0.25">
      <c r="B498" s="267" t="s">
        <v>916</v>
      </c>
      <c r="C498" s="147" t="s">
        <v>83</v>
      </c>
      <c r="D498" s="147" t="s">
        <v>12</v>
      </c>
      <c r="E498" s="147" t="s">
        <v>797</v>
      </c>
      <c r="F498" s="233" t="s">
        <v>868</v>
      </c>
      <c r="G498" s="233">
        <v>7</v>
      </c>
    </row>
    <row r="499" spans="2:7" hidden="1" x14ac:dyDescent="0.25">
      <c r="B499" s="267" t="s">
        <v>916</v>
      </c>
      <c r="C499" s="147" t="s">
        <v>83</v>
      </c>
      <c r="D499" s="147" t="s">
        <v>12</v>
      </c>
      <c r="E499" s="147" t="s">
        <v>788</v>
      </c>
      <c r="F499" s="233" t="s">
        <v>869</v>
      </c>
      <c r="G499" s="233">
        <v>5</v>
      </c>
    </row>
    <row r="500" spans="2:7" hidden="1" x14ac:dyDescent="0.25">
      <c r="B500" s="267" t="s">
        <v>916</v>
      </c>
      <c r="C500" s="147" t="s">
        <v>83</v>
      </c>
      <c r="D500" s="147" t="s">
        <v>12</v>
      </c>
      <c r="E500" s="147" t="s">
        <v>788</v>
      </c>
      <c r="F500" s="233" t="s">
        <v>870</v>
      </c>
      <c r="G500" s="233">
        <v>6</v>
      </c>
    </row>
    <row r="501" spans="2:7" hidden="1" x14ac:dyDescent="0.25">
      <c r="B501" s="267" t="s">
        <v>916</v>
      </c>
      <c r="C501" s="147" t="s">
        <v>83</v>
      </c>
      <c r="D501" s="147" t="s">
        <v>12</v>
      </c>
      <c r="E501" s="147" t="s">
        <v>787</v>
      </c>
      <c r="F501" s="233" t="s">
        <v>871</v>
      </c>
      <c r="G501" s="233">
        <v>0</v>
      </c>
    </row>
    <row r="502" spans="2:7" hidden="1" x14ac:dyDescent="0.25">
      <c r="B502" s="267" t="s">
        <v>916</v>
      </c>
      <c r="C502" s="147" t="s">
        <v>83</v>
      </c>
      <c r="D502" s="147" t="s">
        <v>12</v>
      </c>
      <c r="E502" s="147" t="s">
        <v>787</v>
      </c>
      <c r="F502" s="233" t="s">
        <v>872</v>
      </c>
      <c r="G502" s="233">
        <v>0</v>
      </c>
    </row>
    <row r="503" spans="2:7" hidden="1" x14ac:dyDescent="0.25">
      <c r="B503" s="267" t="s">
        <v>916</v>
      </c>
      <c r="C503" s="147" t="s">
        <v>83</v>
      </c>
      <c r="D503" s="147" t="s">
        <v>12</v>
      </c>
      <c r="E503" s="147" t="s">
        <v>786</v>
      </c>
      <c r="F503" s="233" t="s">
        <v>873</v>
      </c>
      <c r="G503" s="233">
        <v>0</v>
      </c>
    </row>
    <row r="504" spans="2:7" hidden="1" x14ac:dyDescent="0.25">
      <c r="B504" s="267" t="s">
        <v>916</v>
      </c>
      <c r="C504" s="147" t="s">
        <v>83</v>
      </c>
      <c r="D504" s="147" t="s">
        <v>12</v>
      </c>
      <c r="E504" s="147" t="s">
        <v>786</v>
      </c>
      <c r="F504" s="233" t="s">
        <v>874</v>
      </c>
      <c r="G504" s="233">
        <v>0</v>
      </c>
    </row>
    <row r="505" spans="2:7" hidden="1" x14ac:dyDescent="0.25">
      <c r="B505" s="267" t="s">
        <v>916</v>
      </c>
      <c r="C505" s="147" t="s">
        <v>83</v>
      </c>
      <c r="D505" s="147" t="s">
        <v>34</v>
      </c>
      <c r="E505" s="232" t="s">
        <v>799</v>
      </c>
      <c r="F505" s="231" t="s">
        <v>875</v>
      </c>
      <c r="G505" s="231">
        <v>10</v>
      </c>
    </row>
    <row r="506" spans="2:7" hidden="1" x14ac:dyDescent="0.25">
      <c r="B506" s="267" t="s">
        <v>916</v>
      </c>
      <c r="C506" s="147" t="s">
        <v>83</v>
      </c>
      <c r="D506" s="147" t="s">
        <v>34</v>
      </c>
      <c r="E506" s="232" t="s">
        <v>799</v>
      </c>
      <c r="F506" s="231" t="s">
        <v>876</v>
      </c>
      <c r="G506" s="231">
        <v>10</v>
      </c>
    </row>
    <row r="507" spans="2:7" hidden="1" x14ac:dyDescent="0.25">
      <c r="B507" s="267" t="s">
        <v>916</v>
      </c>
      <c r="C507" s="147" t="s">
        <v>83</v>
      </c>
      <c r="D507" s="147" t="s">
        <v>41</v>
      </c>
      <c r="E507" s="232" t="s">
        <v>799</v>
      </c>
      <c r="F507" s="231" t="s">
        <v>877</v>
      </c>
      <c r="G507" s="231">
        <v>5</v>
      </c>
    </row>
    <row r="508" spans="2:7" hidden="1" x14ac:dyDescent="0.25">
      <c r="B508" s="267" t="s">
        <v>916</v>
      </c>
      <c r="C508" s="147" t="s">
        <v>83</v>
      </c>
      <c r="D508" s="147" t="s">
        <v>46</v>
      </c>
      <c r="E508" s="232" t="s">
        <v>799</v>
      </c>
      <c r="F508" s="231" t="s">
        <v>878</v>
      </c>
      <c r="G508" s="231">
        <v>4</v>
      </c>
    </row>
    <row r="509" spans="2:7" hidden="1" x14ac:dyDescent="0.25">
      <c r="B509" s="267" t="s">
        <v>916</v>
      </c>
      <c r="C509" s="147" t="s">
        <v>114</v>
      </c>
      <c r="D509" s="147" t="s">
        <v>12</v>
      </c>
      <c r="E509" s="232" t="s">
        <v>799</v>
      </c>
      <c r="F509" s="231" t="s">
        <v>879</v>
      </c>
      <c r="G509" s="231">
        <v>10</v>
      </c>
    </row>
    <row r="510" spans="2:7" hidden="1" x14ac:dyDescent="0.25">
      <c r="B510" s="267" t="s">
        <v>916</v>
      </c>
      <c r="C510" s="147" t="s">
        <v>114</v>
      </c>
      <c r="D510" s="147" t="s">
        <v>12</v>
      </c>
      <c r="E510" s="232" t="s">
        <v>799</v>
      </c>
      <c r="F510" s="231" t="s">
        <v>880</v>
      </c>
      <c r="G510" s="231">
        <v>10</v>
      </c>
    </row>
    <row r="511" spans="2:7" hidden="1" x14ac:dyDescent="0.25">
      <c r="B511" s="267" t="s">
        <v>916</v>
      </c>
      <c r="C511" s="147" t="s">
        <v>114</v>
      </c>
      <c r="D511" s="147" t="s">
        <v>12</v>
      </c>
      <c r="E511" s="232" t="s">
        <v>799</v>
      </c>
      <c r="F511" s="231" t="s">
        <v>881</v>
      </c>
      <c r="G511" s="231">
        <v>7</v>
      </c>
    </row>
    <row r="512" spans="2:7" hidden="1" x14ac:dyDescent="0.25">
      <c r="B512" s="267" t="s">
        <v>916</v>
      </c>
      <c r="C512" s="147" t="s">
        <v>114</v>
      </c>
      <c r="D512" s="147" t="s">
        <v>12</v>
      </c>
      <c r="E512" s="232" t="s">
        <v>799</v>
      </c>
      <c r="F512" s="231" t="s">
        <v>882</v>
      </c>
      <c r="G512" s="231">
        <v>9</v>
      </c>
    </row>
    <row r="513" spans="2:7" hidden="1" x14ac:dyDescent="0.25">
      <c r="B513" s="267" t="s">
        <v>916</v>
      </c>
      <c r="C513" s="147" t="s">
        <v>114</v>
      </c>
      <c r="D513" s="147" t="s">
        <v>12</v>
      </c>
      <c r="E513" s="232" t="s">
        <v>799</v>
      </c>
      <c r="F513" s="231" t="s">
        <v>883</v>
      </c>
      <c r="G513" s="231">
        <v>9</v>
      </c>
    </row>
    <row r="514" spans="2:7" hidden="1" x14ac:dyDescent="0.25">
      <c r="B514" s="267" t="s">
        <v>916</v>
      </c>
      <c r="C514" s="147" t="s">
        <v>114</v>
      </c>
      <c r="D514" s="147" t="s">
        <v>12</v>
      </c>
      <c r="E514" s="232" t="s">
        <v>799</v>
      </c>
      <c r="F514" s="231" t="s">
        <v>884</v>
      </c>
      <c r="G514" s="231">
        <v>8</v>
      </c>
    </row>
    <row r="515" spans="2:7" hidden="1" x14ac:dyDescent="0.25">
      <c r="B515" s="267" t="s">
        <v>916</v>
      </c>
      <c r="C515" s="147" t="s">
        <v>114</v>
      </c>
      <c r="D515" s="147" t="s">
        <v>12</v>
      </c>
      <c r="E515" s="232" t="s">
        <v>799</v>
      </c>
      <c r="F515" s="231" t="s">
        <v>885</v>
      </c>
      <c r="G515" s="231">
        <v>10</v>
      </c>
    </row>
    <row r="516" spans="2:7" hidden="1" x14ac:dyDescent="0.25">
      <c r="B516" s="267" t="s">
        <v>916</v>
      </c>
      <c r="C516" s="147" t="s">
        <v>114</v>
      </c>
      <c r="D516" s="147" t="s">
        <v>12</v>
      </c>
      <c r="E516" s="147" t="s">
        <v>798</v>
      </c>
      <c r="F516" s="231" t="s">
        <v>886</v>
      </c>
      <c r="G516" s="231">
        <v>8</v>
      </c>
    </row>
    <row r="517" spans="2:7" hidden="1" x14ac:dyDescent="0.25">
      <c r="B517" s="267" t="s">
        <v>916</v>
      </c>
      <c r="C517" s="147" t="s">
        <v>114</v>
      </c>
      <c r="D517" s="147" t="s">
        <v>12</v>
      </c>
      <c r="E517" s="147" t="s">
        <v>797</v>
      </c>
      <c r="F517" s="233" t="s">
        <v>887</v>
      </c>
      <c r="G517" s="233">
        <v>8</v>
      </c>
    </row>
    <row r="518" spans="2:7" hidden="1" x14ac:dyDescent="0.25">
      <c r="B518" s="267" t="s">
        <v>916</v>
      </c>
      <c r="C518" s="147" t="s">
        <v>114</v>
      </c>
      <c r="D518" s="147" t="s">
        <v>12</v>
      </c>
      <c r="E518" s="147" t="s">
        <v>797</v>
      </c>
      <c r="F518" s="233" t="s">
        <v>888</v>
      </c>
      <c r="G518" s="233">
        <v>9</v>
      </c>
    </row>
    <row r="519" spans="2:7" hidden="1" x14ac:dyDescent="0.25">
      <c r="B519" s="267" t="s">
        <v>916</v>
      </c>
      <c r="C519" s="147" t="s">
        <v>114</v>
      </c>
      <c r="D519" s="147" t="s">
        <v>12</v>
      </c>
      <c r="E519" s="147" t="s">
        <v>788</v>
      </c>
      <c r="F519" s="233" t="s">
        <v>889</v>
      </c>
      <c r="G519" s="233">
        <v>7</v>
      </c>
    </row>
    <row r="520" spans="2:7" hidden="1" x14ac:dyDescent="0.25">
      <c r="B520" s="267" t="s">
        <v>916</v>
      </c>
      <c r="C520" s="147" t="s">
        <v>114</v>
      </c>
      <c r="D520" s="147" t="s">
        <v>12</v>
      </c>
      <c r="E520" s="147" t="s">
        <v>788</v>
      </c>
      <c r="F520" s="233" t="s">
        <v>890</v>
      </c>
      <c r="G520" s="233">
        <v>0</v>
      </c>
    </row>
    <row r="521" spans="2:7" hidden="1" x14ac:dyDescent="0.25">
      <c r="B521" s="267" t="s">
        <v>916</v>
      </c>
      <c r="C521" s="147" t="s">
        <v>114</v>
      </c>
      <c r="D521" s="147" t="s">
        <v>12</v>
      </c>
      <c r="E521" s="147" t="s">
        <v>787</v>
      </c>
      <c r="F521" s="233" t="s">
        <v>891</v>
      </c>
      <c r="G521" s="233">
        <v>0</v>
      </c>
    </row>
    <row r="522" spans="2:7" hidden="1" x14ac:dyDescent="0.25">
      <c r="B522" s="267" t="s">
        <v>916</v>
      </c>
      <c r="C522" s="147" t="s">
        <v>114</v>
      </c>
      <c r="D522" s="147" t="s">
        <v>12</v>
      </c>
      <c r="E522" s="147" t="s">
        <v>787</v>
      </c>
      <c r="F522" s="233" t="s">
        <v>892</v>
      </c>
      <c r="G522" s="233">
        <v>0</v>
      </c>
    </row>
    <row r="523" spans="2:7" hidden="1" x14ac:dyDescent="0.25">
      <c r="B523" s="267" t="s">
        <v>916</v>
      </c>
      <c r="C523" s="147" t="s">
        <v>114</v>
      </c>
      <c r="D523" s="147" t="s">
        <v>12</v>
      </c>
      <c r="E523" s="147" t="s">
        <v>786</v>
      </c>
      <c r="F523" s="233" t="s">
        <v>893</v>
      </c>
      <c r="G523" s="233">
        <v>0</v>
      </c>
    </row>
    <row r="524" spans="2:7" hidden="1" x14ac:dyDescent="0.25">
      <c r="B524" s="267" t="s">
        <v>916</v>
      </c>
      <c r="C524" s="147" t="s">
        <v>114</v>
      </c>
      <c r="D524" s="147" t="s">
        <v>12</v>
      </c>
      <c r="E524" s="147" t="s">
        <v>786</v>
      </c>
      <c r="F524" s="233" t="s">
        <v>894</v>
      </c>
      <c r="G524" s="233">
        <v>0</v>
      </c>
    </row>
    <row r="525" spans="2:7" hidden="1" x14ac:dyDescent="0.25">
      <c r="B525" s="267" t="s">
        <v>916</v>
      </c>
      <c r="C525" s="147" t="s">
        <v>114</v>
      </c>
      <c r="D525" s="147" t="s">
        <v>34</v>
      </c>
      <c r="E525" s="232" t="s">
        <v>799</v>
      </c>
      <c r="F525" s="234" t="s">
        <v>895</v>
      </c>
      <c r="G525" s="234">
        <v>10</v>
      </c>
    </row>
    <row r="526" spans="2:7" hidden="1" x14ac:dyDescent="0.25">
      <c r="B526" s="267" t="s">
        <v>916</v>
      </c>
      <c r="C526" s="147" t="s">
        <v>114</v>
      </c>
      <c r="D526" s="147" t="s">
        <v>34</v>
      </c>
      <c r="E526" s="232" t="s">
        <v>799</v>
      </c>
      <c r="F526" s="234" t="s">
        <v>896</v>
      </c>
      <c r="G526" s="234">
        <v>10</v>
      </c>
    </row>
    <row r="527" spans="2:7" hidden="1" x14ac:dyDescent="0.25">
      <c r="B527" s="267" t="s">
        <v>916</v>
      </c>
      <c r="C527" s="147" t="s">
        <v>114</v>
      </c>
      <c r="D527" s="147" t="s">
        <v>41</v>
      </c>
      <c r="E527" s="232" t="s">
        <v>799</v>
      </c>
      <c r="F527" s="234" t="s">
        <v>897</v>
      </c>
      <c r="G527" s="234">
        <v>5</v>
      </c>
    </row>
    <row r="528" spans="2:7" hidden="1" x14ac:dyDescent="0.25">
      <c r="B528" s="267" t="s">
        <v>916</v>
      </c>
      <c r="C528" s="147" t="s">
        <v>114</v>
      </c>
      <c r="D528" s="147" t="s">
        <v>41</v>
      </c>
      <c r="E528" s="232" t="s">
        <v>799</v>
      </c>
      <c r="F528" s="234" t="s">
        <v>898</v>
      </c>
      <c r="G528" s="234">
        <v>5</v>
      </c>
    </row>
    <row r="529" spans="2:7" hidden="1" x14ac:dyDescent="0.25">
      <c r="B529" s="267" t="s">
        <v>916</v>
      </c>
      <c r="C529" s="147" t="s">
        <v>114</v>
      </c>
      <c r="D529" s="147" t="s">
        <v>46</v>
      </c>
      <c r="E529" s="232" t="s">
        <v>799</v>
      </c>
      <c r="F529" s="234" t="s">
        <v>899</v>
      </c>
      <c r="G529" s="234">
        <v>4</v>
      </c>
    </row>
    <row r="530" spans="2:7" hidden="1" x14ac:dyDescent="0.25">
      <c r="B530" s="267" t="s">
        <v>923</v>
      </c>
      <c r="C530" s="6" t="s">
        <v>11</v>
      </c>
      <c r="D530" s="6" t="s">
        <v>12</v>
      </c>
      <c r="E530" s="203" t="s">
        <v>799</v>
      </c>
      <c r="F530" s="7" t="s">
        <v>812</v>
      </c>
      <c r="G530" s="7">
        <v>8</v>
      </c>
    </row>
    <row r="531" spans="2:7" hidden="1" x14ac:dyDescent="0.25">
      <c r="B531" s="267" t="s">
        <v>923</v>
      </c>
      <c r="C531" s="106" t="s">
        <v>11</v>
      </c>
      <c r="D531" s="106" t="s">
        <v>12</v>
      </c>
      <c r="E531" s="272" t="s">
        <v>799</v>
      </c>
      <c r="F531" s="105" t="s">
        <v>813</v>
      </c>
      <c r="G531" s="7">
        <v>10</v>
      </c>
    </row>
    <row r="532" spans="2:7" hidden="1" x14ac:dyDescent="0.25">
      <c r="B532" s="267" t="s">
        <v>923</v>
      </c>
      <c r="C532" s="106" t="s">
        <v>11</v>
      </c>
      <c r="D532" s="106" t="s">
        <v>12</v>
      </c>
      <c r="E532" s="272" t="s">
        <v>799</v>
      </c>
      <c r="F532" s="105" t="s">
        <v>814</v>
      </c>
      <c r="G532" s="7">
        <v>7</v>
      </c>
    </row>
    <row r="533" spans="2:7" hidden="1" x14ac:dyDescent="0.25">
      <c r="B533" s="267" t="s">
        <v>923</v>
      </c>
      <c r="C533" s="106" t="s">
        <v>11</v>
      </c>
      <c r="D533" s="106" t="s">
        <v>12</v>
      </c>
      <c r="E533" s="272" t="s">
        <v>799</v>
      </c>
      <c r="F533" s="105" t="s">
        <v>815</v>
      </c>
      <c r="G533" s="7">
        <v>8</v>
      </c>
    </row>
    <row r="534" spans="2:7" hidden="1" x14ac:dyDescent="0.25">
      <c r="B534" s="267" t="s">
        <v>923</v>
      </c>
      <c r="C534" s="106" t="s">
        <v>11</v>
      </c>
      <c r="D534" s="106" t="s">
        <v>12</v>
      </c>
      <c r="E534" s="272" t="s">
        <v>799</v>
      </c>
      <c r="F534" s="105" t="s">
        <v>816</v>
      </c>
      <c r="G534" s="7">
        <v>6</v>
      </c>
    </row>
    <row r="535" spans="2:7" hidden="1" x14ac:dyDescent="0.25">
      <c r="B535" s="267" t="s">
        <v>923</v>
      </c>
      <c r="C535" s="106" t="s">
        <v>11</v>
      </c>
      <c r="D535" s="106" t="s">
        <v>12</v>
      </c>
      <c r="E535" s="272" t="s">
        <v>799</v>
      </c>
      <c r="F535" s="105" t="s">
        <v>817</v>
      </c>
      <c r="G535" s="7">
        <v>6</v>
      </c>
    </row>
    <row r="536" spans="2:7" hidden="1" x14ac:dyDescent="0.25">
      <c r="B536" s="267" t="s">
        <v>923</v>
      </c>
      <c r="C536" s="106" t="s">
        <v>11</v>
      </c>
      <c r="D536" s="106" t="s">
        <v>12</v>
      </c>
      <c r="E536" s="272" t="s">
        <v>799</v>
      </c>
      <c r="F536" s="105" t="s">
        <v>818</v>
      </c>
      <c r="G536" s="7">
        <v>8</v>
      </c>
    </row>
    <row r="537" spans="2:7" hidden="1" x14ac:dyDescent="0.25">
      <c r="B537" s="267" t="s">
        <v>923</v>
      </c>
      <c r="C537" s="106" t="s">
        <v>11</v>
      </c>
      <c r="D537" s="106" t="s">
        <v>12</v>
      </c>
      <c r="E537" s="106" t="s">
        <v>798</v>
      </c>
      <c r="F537" s="105" t="s">
        <v>819</v>
      </c>
      <c r="G537" s="7">
        <v>7</v>
      </c>
    </row>
    <row r="538" spans="2:7" hidden="1" x14ac:dyDescent="0.25">
      <c r="B538" s="267" t="s">
        <v>923</v>
      </c>
      <c r="C538" s="106" t="s">
        <v>11</v>
      </c>
      <c r="D538" s="106" t="s">
        <v>12</v>
      </c>
      <c r="E538" s="106" t="s">
        <v>797</v>
      </c>
      <c r="F538" s="105" t="s">
        <v>820</v>
      </c>
      <c r="G538" s="7">
        <v>0</v>
      </c>
    </row>
    <row r="539" spans="2:7" hidden="1" x14ac:dyDescent="0.25">
      <c r="B539" s="267" t="s">
        <v>923</v>
      </c>
      <c r="C539" s="106" t="s">
        <v>11</v>
      </c>
      <c r="D539" s="106" t="s">
        <v>12</v>
      </c>
      <c r="E539" s="106" t="s">
        <v>797</v>
      </c>
      <c r="F539" s="105" t="s">
        <v>821</v>
      </c>
      <c r="G539" s="7">
        <v>6</v>
      </c>
    </row>
    <row r="540" spans="2:7" hidden="1" x14ac:dyDescent="0.25">
      <c r="B540" s="267" t="s">
        <v>923</v>
      </c>
      <c r="C540" s="106" t="s">
        <v>11</v>
      </c>
      <c r="D540" s="106" t="s">
        <v>12</v>
      </c>
      <c r="E540" s="106" t="s">
        <v>788</v>
      </c>
      <c r="F540" s="105" t="s">
        <v>822</v>
      </c>
      <c r="G540" s="7">
        <v>5</v>
      </c>
    </row>
    <row r="541" spans="2:7" hidden="1" x14ac:dyDescent="0.25">
      <c r="B541" s="267" t="s">
        <v>923</v>
      </c>
      <c r="C541" s="106" t="s">
        <v>11</v>
      </c>
      <c r="D541" s="106" t="s">
        <v>12</v>
      </c>
      <c r="E541" s="106" t="s">
        <v>788</v>
      </c>
      <c r="F541" s="105" t="s">
        <v>823</v>
      </c>
      <c r="G541" s="7">
        <v>0</v>
      </c>
    </row>
    <row r="542" spans="2:7" hidden="1" x14ac:dyDescent="0.25">
      <c r="B542" s="267" t="s">
        <v>923</v>
      </c>
      <c r="C542" s="106" t="s">
        <v>11</v>
      </c>
      <c r="D542" s="106" t="s">
        <v>12</v>
      </c>
      <c r="E542" s="106" t="s">
        <v>787</v>
      </c>
      <c r="F542" s="105" t="s">
        <v>824</v>
      </c>
      <c r="G542" s="7">
        <v>0</v>
      </c>
    </row>
    <row r="543" spans="2:7" hidden="1" x14ac:dyDescent="0.25">
      <c r="B543" s="267" t="s">
        <v>923</v>
      </c>
      <c r="C543" s="106" t="s">
        <v>11</v>
      </c>
      <c r="D543" s="106" t="s">
        <v>12</v>
      </c>
      <c r="E543" s="106" t="s">
        <v>787</v>
      </c>
      <c r="F543" s="105" t="s">
        <v>825</v>
      </c>
      <c r="G543" s="7">
        <v>5</v>
      </c>
    </row>
    <row r="544" spans="2:7" hidden="1" x14ac:dyDescent="0.25">
      <c r="B544" s="267" t="s">
        <v>923</v>
      </c>
      <c r="C544" s="106" t="s">
        <v>11</v>
      </c>
      <c r="D544" s="106" t="s">
        <v>12</v>
      </c>
      <c r="E544" s="106" t="s">
        <v>786</v>
      </c>
      <c r="F544" s="105" t="s">
        <v>826</v>
      </c>
      <c r="G544" s="7">
        <v>0</v>
      </c>
    </row>
    <row r="545" spans="2:7" hidden="1" x14ac:dyDescent="0.25">
      <c r="B545" s="267" t="s">
        <v>923</v>
      </c>
      <c r="C545" s="106" t="s">
        <v>11</v>
      </c>
      <c r="D545" s="106" t="s">
        <v>12</v>
      </c>
      <c r="E545" s="106" t="s">
        <v>786</v>
      </c>
      <c r="F545" s="105" t="s">
        <v>827</v>
      </c>
      <c r="G545" s="7">
        <v>0</v>
      </c>
    </row>
    <row r="546" spans="2:7" hidden="1" x14ac:dyDescent="0.25">
      <c r="B546" s="267" t="s">
        <v>923</v>
      </c>
      <c r="C546" s="106" t="s">
        <v>11</v>
      </c>
      <c r="D546" s="106" t="s">
        <v>34</v>
      </c>
      <c r="E546" s="272" t="s">
        <v>799</v>
      </c>
      <c r="F546" s="105" t="s">
        <v>828</v>
      </c>
      <c r="G546" s="7">
        <v>10</v>
      </c>
    </row>
    <row r="547" spans="2:7" hidden="1" x14ac:dyDescent="0.25">
      <c r="B547" s="267" t="s">
        <v>923</v>
      </c>
      <c r="C547" s="106" t="s">
        <v>11</v>
      </c>
      <c r="D547" s="106" t="s">
        <v>34</v>
      </c>
      <c r="E547" s="272" t="s">
        <v>799</v>
      </c>
      <c r="F547" s="105" t="s">
        <v>829</v>
      </c>
      <c r="G547" s="7">
        <v>10</v>
      </c>
    </row>
    <row r="548" spans="2:7" hidden="1" x14ac:dyDescent="0.25">
      <c r="B548" s="267" t="s">
        <v>923</v>
      </c>
      <c r="C548" s="106" t="s">
        <v>11</v>
      </c>
      <c r="D548" s="106" t="s">
        <v>41</v>
      </c>
      <c r="E548" s="272" t="s">
        <v>799</v>
      </c>
      <c r="F548" s="105" t="s">
        <v>830</v>
      </c>
      <c r="G548" s="7">
        <v>5</v>
      </c>
    </row>
    <row r="549" spans="2:7" hidden="1" x14ac:dyDescent="0.25">
      <c r="B549" s="267" t="s">
        <v>923</v>
      </c>
      <c r="C549" s="106" t="s">
        <v>11</v>
      </c>
      <c r="D549" s="106" t="s">
        <v>41</v>
      </c>
      <c r="E549" s="272" t="s">
        <v>799</v>
      </c>
      <c r="F549" s="105" t="s">
        <v>831</v>
      </c>
      <c r="G549" s="7">
        <v>5</v>
      </c>
    </row>
    <row r="550" spans="2:7" hidden="1" x14ac:dyDescent="0.25">
      <c r="B550" s="267" t="s">
        <v>923</v>
      </c>
      <c r="C550" s="106" t="s">
        <v>11</v>
      </c>
      <c r="D550" s="106" t="s">
        <v>41</v>
      </c>
      <c r="E550" s="272" t="s">
        <v>799</v>
      </c>
      <c r="F550" s="105" t="s">
        <v>832</v>
      </c>
      <c r="G550" s="7">
        <v>5</v>
      </c>
    </row>
    <row r="551" spans="2:7" hidden="1" x14ac:dyDescent="0.25">
      <c r="B551" s="267" t="s">
        <v>923</v>
      </c>
      <c r="C551" s="106" t="s">
        <v>11</v>
      </c>
      <c r="D551" s="106" t="s">
        <v>46</v>
      </c>
      <c r="E551" s="272" t="s">
        <v>799</v>
      </c>
      <c r="F551" s="105" t="s">
        <v>833</v>
      </c>
      <c r="G551" s="7">
        <v>4</v>
      </c>
    </row>
    <row r="552" spans="2:7" hidden="1" x14ac:dyDescent="0.25">
      <c r="B552" s="267" t="s">
        <v>923</v>
      </c>
      <c r="C552" s="106" t="s">
        <v>48</v>
      </c>
      <c r="D552" s="106" t="s">
        <v>12</v>
      </c>
      <c r="E552" s="272" t="s">
        <v>799</v>
      </c>
      <c r="F552" s="105" t="s">
        <v>834</v>
      </c>
      <c r="G552" s="7">
        <v>10</v>
      </c>
    </row>
    <row r="553" spans="2:7" hidden="1" x14ac:dyDescent="0.25">
      <c r="B553" s="267" t="s">
        <v>923</v>
      </c>
      <c r="C553" s="106" t="s">
        <v>48</v>
      </c>
      <c r="D553" s="106" t="s">
        <v>12</v>
      </c>
      <c r="E553" s="272" t="s">
        <v>799</v>
      </c>
      <c r="F553" s="105" t="s">
        <v>835</v>
      </c>
      <c r="G553" s="7">
        <v>10</v>
      </c>
    </row>
    <row r="554" spans="2:7" hidden="1" x14ac:dyDescent="0.25">
      <c r="B554" s="267" t="s">
        <v>923</v>
      </c>
      <c r="C554" s="106" t="s">
        <v>48</v>
      </c>
      <c r="D554" s="106" t="s">
        <v>12</v>
      </c>
      <c r="E554" s="272" t="s">
        <v>799</v>
      </c>
      <c r="F554" s="105" t="s">
        <v>836</v>
      </c>
      <c r="G554" s="7">
        <v>10</v>
      </c>
    </row>
    <row r="555" spans="2:7" hidden="1" x14ac:dyDescent="0.25">
      <c r="B555" s="267" t="s">
        <v>923</v>
      </c>
      <c r="C555" s="106" t="s">
        <v>48</v>
      </c>
      <c r="D555" s="106" t="s">
        <v>12</v>
      </c>
      <c r="E555" s="272" t="s">
        <v>799</v>
      </c>
      <c r="F555" s="105" t="s">
        <v>837</v>
      </c>
      <c r="G555" s="7">
        <v>9</v>
      </c>
    </row>
    <row r="556" spans="2:7" hidden="1" x14ac:dyDescent="0.25">
      <c r="B556" s="267" t="s">
        <v>923</v>
      </c>
      <c r="C556" s="106" t="s">
        <v>48</v>
      </c>
      <c r="D556" s="106" t="s">
        <v>12</v>
      </c>
      <c r="E556" s="272" t="s">
        <v>799</v>
      </c>
      <c r="F556" s="105" t="s">
        <v>838</v>
      </c>
      <c r="G556" s="7">
        <v>5</v>
      </c>
    </row>
    <row r="557" spans="2:7" hidden="1" x14ac:dyDescent="0.25">
      <c r="B557" s="267" t="s">
        <v>923</v>
      </c>
      <c r="C557" s="106" t="s">
        <v>48</v>
      </c>
      <c r="D557" s="106" t="s">
        <v>12</v>
      </c>
      <c r="E557" s="272" t="s">
        <v>799</v>
      </c>
      <c r="F557" s="105" t="s">
        <v>839</v>
      </c>
      <c r="G557" s="7">
        <v>6</v>
      </c>
    </row>
    <row r="558" spans="2:7" hidden="1" x14ac:dyDescent="0.25">
      <c r="B558" s="267" t="s">
        <v>923</v>
      </c>
      <c r="C558" s="106" t="s">
        <v>48</v>
      </c>
      <c r="D558" s="106" t="s">
        <v>12</v>
      </c>
      <c r="E558" s="272" t="s">
        <v>799</v>
      </c>
      <c r="F558" s="105" t="s">
        <v>840</v>
      </c>
      <c r="G558" s="7">
        <v>5</v>
      </c>
    </row>
    <row r="559" spans="2:7" hidden="1" x14ac:dyDescent="0.25">
      <c r="B559" s="267" t="s">
        <v>923</v>
      </c>
      <c r="C559" s="106" t="s">
        <v>48</v>
      </c>
      <c r="D559" s="106" t="s">
        <v>12</v>
      </c>
      <c r="E559" s="272" t="s">
        <v>799</v>
      </c>
      <c r="F559" s="105" t="s">
        <v>841</v>
      </c>
      <c r="G559" s="7">
        <v>5</v>
      </c>
    </row>
    <row r="560" spans="2:7" hidden="1" x14ac:dyDescent="0.25">
      <c r="B560" s="267" t="s">
        <v>923</v>
      </c>
      <c r="C560" s="106" t="s">
        <v>48</v>
      </c>
      <c r="D560" s="106" t="s">
        <v>12</v>
      </c>
      <c r="E560" s="106" t="s">
        <v>798</v>
      </c>
      <c r="F560" s="105" t="s">
        <v>842</v>
      </c>
      <c r="G560" s="7">
        <v>5</v>
      </c>
    </row>
    <row r="561" spans="2:7" hidden="1" x14ac:dyDescent="0.25">
      <c r="B561" s="267" t="s">
        <v>923</v>
      </c>
      <c r="C561" s="106" t="s">
        <v>48</v>
      </c>
      <c r="D561" s="106" t="s">
        <v>12</v>
      </c>
      <c r="E561" s="106" t="s">
        <v>798</v>
      </c>
      <c r="F561" s="105" t="s">
        <v>843</v>
      </c>
      <c r="G561" s="7">
        <v>5</v>
      </c>
    </row>
    <row r="562" spans="2:7" hidden="1" x14ac:dyDescent="0.25">
      <c r="B562" s="267" t="s">
        <v>923</v>
      </c>
      <c r="C562" s="106" t="s">
        <v>48</v>
      </c>
      <c r="D562" s="106" t="s">
        <v>12</v>
      </c>
      <c r="E562" s="106" t="s">
        <v>797</v>
      </c>
      <c r="F562" s="105" t="s">
        <v>844</v>
      </c>
      <c r="G562" s="7">
        <v>7</v>
      </c>
    </row>
    <row r="563" spans="2:7" hidden="1" x14ac:dyDescent="0.25">
      <c r="B563" s="267" t="s">
        <v>923</v>
      </c>
      <c r="C563" s="106" t="s">
        <v>48</v>
      </c>
      <c r="D563" s="106" t="s">
        <v>12</v>
      </c>
      <c r="E563" s="106" t="s">
        <v>797</v>
      </c>
      <c r="F563" s="105" t="s">
        <v>845</v>
      </c>
      <c r="G563" s="7">
        <v>7</v>
      </c>
    </row>
    <row r="564" spans="2:7" hidden="1" x14ac:dyDescent="0.25">
      <c r="B564" s="267" t="s">
        <v>923</v>
      </c>
      <c r="C564" s="106" t="s">
        <v>48</v>
      </c>
      <c r="D564" s="106" t="s">
        <v>12</v>
      </c>
      <c r="E564" s="106" t="s">
        <v>788</v>
      </c>
      <c r="F564" s="105" t="s">
        <v>846</v>
      </c>
      <c r="G564" s="7">
        <v>0</v>
      </c>
    </row>
    <row r="565" spans="2:7" hidden="1" x14ac:dyDescent="0.25">
      <c r="B565" s="267" t="s">
        <v>923</v>
      </c>
      <c r="C565" s="106" t="s">
        <v>48</v>
      </c>
      <c r="D565" s="106" t="s">
        <v>12</v>
      </c>
      <c r="E565" s="106" t="s">
        <v>788</v>
      </c>
      <c r="F565" s="105" t="s">
        <v>847</v>
      </c>
      <c r="G565" s="7">
        <v>0</v>
      </c>
    </row>
    <row r="566" spans="2:7" hidden="1" x14ac:dyDescent="0.25">
      <c r="B566" s="267" t="s">
        <v>923</v>
      </c>
      <c r="C566" s="106" t="s">
        <v>48</v>
      </c>
      <c r="D566" s="106" t="s">
        <v>12</v>
      </c>
      <c r="E566" s="106" t="s">
        <v>787</v>
      </c>
      <c r="F566" s="105" t="s">
        <v>848</v>
      </c>
      <c r="G566" s="7">
        <v>0</v>
      </c>
    </row>
    <row r="567" spans="2:7" hidden="1" x14ac:dyDescent="0.25">
      <c r="B567" s="267" t="s">
        <v>923</v>
      </c>
      <c r="C567" s="106" t="s">
        <v>48</v>
      </c>
      <c r="D567" s="106" t="s">
        <v>12</v>
      </c>
      <c r="E567" s="106" t="s">
        <v>787</v>
      </c>
      <c r="F567" s="105" t="s">
        <v>849</v>
      </c>
      <c r="G567" s="7">
        <v>0</v>
      </c>
    </row>
    <row r="568" spans="2:7" hidden="1" x14ac:dyDescent="0.25">
      <c r="B568" s="267" t="s">
        <v>923</v>
      </c>
      <c r="C568" s="106" t="s">
        <v>48</v>
      </c>
      <c r="D568" s="106" t="s">
        <v>12</v>
      </c>
      <c r="E568" s="106" t="s">
        <v>786</v>
      </c>
      <c r="F568" s="105" t="s">
        <v>850</v>
      </c>
      <c r="G568" s="7">
        <v>0</v>
      </c>
    </row>
    <row r="569" spans="2:7" hidden="1" x14ac:dyDescent="0.25">
      <c r="B569" s="267" t="s">
        <v>923</v>
      </c>
      <c r="C569" s="106" t="s">
        <v>48</v>
      </c>
      <c r="D569" s="106" t="s">
        <v>12</v>
      </c>
      <c r="E569" s="106" t="s">
        <v>786</v>
      </c>
      <c r="F569" s="105" t="s">
        <v>851</v>
      </c>
      <c r="G569" s="7">
        <v>0</v>
      </c>
    </row>
    <row r="570" spans="2:7" hidden="1" x14ac:dyDescent="0.25">
      <c r="B570" s="267" t="s">
        <v>923</v>
      </c>
      <c r="C570" s="106" t="s">
        <v>48</v>
      </c>
      <c r="D570" s="106" t="s">
        <v>34</v>
      </c>
      <c r="E570" s="272" t="s">
        <v>799</v>
      </c>
      <c r="F570" s="105" t="s">
        <v>852</v>
      </c>
      <c r="G570" s="7">
        <v>10</v>
      </c>
    </row>
    <row r="571" spans="2:7" hidden="1" x14ac:dyDescent="0.25">
      <c r="B571" s="267" t="s">
        <v>923</v>
      </c>
      <c r="C571" s="106" t="s">
        <v>48</v>
      </c>
      <c r="D571" s="106" t="s">
        <v>34</v>
      </c>
      <c r="E571" s="272" t="s">
        <v>799</v>
      </c>
      <c r="F571" s="105" t="s">
        <v>853</v>
      </c>
      <c r="G571" s="7">
        <v>10</v>
      </c>
    </row>
    <row r="572" spans="2:7" hidden="1" x14ac:dyDescent="0.25">
      <c r="B572" s="267" t="s">
        <v>923</v>
      </c>
      <c r="C572" s="106" t="s">
        <v>48</v>
      </c>
      <c r="D572" s="106" t="s">
        <v>41</v>
      </c>
      <c r="E572" s="272" t="s">
        <v>799</v>
      </c>
      <c r="F572" s="105" t="s">
        <v>854</v>
      </c>
      <c r="G572" s="7">
        <v>5</v>
      </c>
    </row>
    <row r="573" spans="2:7" hidden="1" x14ac:dyDescent="0.25">
      <c r="B573" s="267" t="s">
        <v>923</v>
      </c>
      <c r="C573" s="106" t="s">
        <v>48</v>
      </c>
      <c r="D573" s="106" t="s">
        <v>41</v>
      </c>
      <c r="E573" s="272" t="s">
        <v>799</v>
      </c>
      <c r="F573" s="105" t="s">
        <v>855</v>
      </c>
      <c r="G573" s="7">
        <v>5</v>
      </c>
    </row>
    <row r="574" spans="2:7" hidden="1" x14ac:dyDescent="0.25">
      <c r="B574" s="267" t="s">
        <v>923</v>
      </c>
      <c r="C574" s="106" t="s">
        <v>48</v>
      </c>
      <c r="D574" s="106" t="s">
        <v>46</v>
      </c>
      <c r="E574" s="272" t="s">
        <v>799</v>
      </c>
      <c r="F574" s="105" t="s">
        <v>856</v>
      </c>
      <c r="G574" s="7">
        <v>4</v>
      </c>
    </row>
    <row r="575" spans="2:7" hidden="1" x14ac:dyDescent="0.25">
      <c r="B575" s="267" t="s">
        <v>923</v>
      </c>
      <c r="C575" s="106" t="s">
        <v>83</v>
      </c>
      <c r="D575" s="106" t="s">
        <v>12</v>
      </c>
      <c r="E575" s="272" t="s">
        <v>799</v>
      </c>
      <c r="F575" s="105" t="s">
        <v>857</v>
      </c>
      <c r="G575" s="7">
        <v>10</v>
      </c>
    </row>
    <row r="576" spans="2:7" hidden="1" x14ac:dyDescent="0.25">
      <c r="B576" s="267" t="s">
        <v>923</v>
      </c>
      <c r="C576" s="106" t="s">
        <v>83</v>
      </c>
      <c r="D576" s="106" t="s">
        <v>12</v>
      </c>
      <c r="E576" s="272" t="s">
        <v>799</v>
      </c>
      <c r="F576" s="105" t="s">
        <v>858</v>
      </c>
      <c r="G576" s="7">
        <v>10</v>
      </c>
    </row>
    <row r="577" spans="2:7" hidden="1" x14ac:dyDescent="0.25">
      <c r="B577" s="267" t="s">
        <v>923</v>
      </c>
      <c r="C577" s="106" t="s">
        <v>83</v>
      </c>
      <c r="D577" s="106" t="s">
        <v>12</v>
      </c>
      <c r="E577" s="272" t="s">
        <v>799</v>
      </c>
      <c r="F577" s="105" t="s">
        <v>859</v>
      </c>
      <c r="G577" s="7">
        <v>10</v>
      </c>
    </row>
    <row r="578" spans="2:7" hidden="1" x14ac:dyDescent="0.25">
      <c r="B578" s="267" t="s">
        <v>923</v>
      </c>
      <c r="C578" s="106" t="s">
        <v>83</v>
      </c>
      <c r="D578" s="106" t="s">
        <v>12</v>
      </c>
      <c r="E578" s="272" t="s">
        <v>799</v>
      </c>
      <c r="F578" s="105" t="s">
        <v>860</v>
      </c>
      <c r="G578" s="7">
        <v>7</v>
      </c>
    </row>
    <row r="579" spans="2:7" hidden="1" x14ac:dyDescent="0.25">
      <c r="B579" s="267" t="s">
        <v>923</v>
      </c>
      <c r="C579" s="106" t="s">
        <v>83</v>
      </c>
      <c r="D579" s="106" t="s">
        <v>12</v>
      </c>
      <c r="E579" s="272" t="s">
        <v>799</v>
      </c>
      <c r="F579" s="105" t="s">
        <v>861</v>
      </c>
      <c r="G579" s="7">
        <v>9</v>
      </c>
    </row>
    <row r="580" spans="2:7" hidden="1" x14ac:dyDescent="0.25">
      <c r="B580" s="267" t="s">
        <v>923</v>
      </c>
      <c r="C580" s="106" t="s">
        <v>83</v>
      </c>
      <c r="D580" s="106" t="s">
        <v>12</v>
      </c>
      <c r="E580" s="272" t="s">
        <v>799</v>
      </c>
      <c r="F580" s="105" t="s">
        <v>862</v>
      </c>
      <c r="G580" s="7">
        <v>9</v>
      </c>
    </row>
    <row r="581" spans="2:7" hidden="1" x14ac:dyDescent="0.25">
      <c r="B581" s="267" t="s">
        <v>923</v>
      </c>
      <c r="C581" s="106" t="s">
        <v>83</v>
      </c>
      <c r="D581" s="106" t="s">
        <v>12</v>
      </c>
      <c r="E581" s="272" t="s">
        <v>799</v>
      </c>
      <c r="F581" s="105" t="s">
        <v>863</v>
      </c>
      <c r="G581" s="7">
        <v>6</v>
      </c>
    </row>
    <row r="582" spans="2:7" hidden="1" x14ac:dyDescent="0.25">
      <c r="B582" s="267" t="s">
        <v>923</v>
      </c>
      <c r="C582" s="106" t="s">
        <v>83</v>
      </c>
      <c r="D582" s="106" t="s">
        <v>12</v>
      </c>
      <c r="E582" s="272" t="s">
        <v>799</v>
      </c>
      <c r="F582" s="105" t="s">
        <v>864</v>
      </c>
      <c r="G582" s="7">
        <v>7</v>
      </c>
    </row>
    <row r="583" spans="2:7" hidden="1" x14ac:dyDescent="0.25">
      <c r="B583" s="267" t="s">
        <v>923</v>
      </c>
      <c r="C583" s="106" t="s">
        <v>83</v>
      </c>
      <c r="D583" s="106" t="s">
        <v>12</v>
      </c>
      <c r="E583" s="106" t="s">
        <v>798</v>
      </c>
      <c r="F583" s="105" t="s">
        <v>865</v>
      </c>
      <c r="G583" s="7">
        <v>6</v>
      </c>
    </row>
    <row r="584" spans="2:7" hidden="1" x14ac:dyDescent="0.25">
      <c r="B584" s="267" t="s">
        <v>923</v>
      </c>
      <c r="C584" s="106" t="s">
        <v>83</v>
      </c>
      <c r="D584" s="106" t="s">
        <v>12</v>
      </c>
      <c r="E584" s="106" t="s">
        <v>798</v>
      </c>
      <c r="F584" s="105" t="s">
        <v>866</v>
      </c>
      <c r="G584" s="7">
        <v>7</v>
      </c>
    </row>
    <row r="585" spans="2:7" hidden="1" x14ac:dyDescent="0.25">
      <c r="B585" s="267" t="s">
        <v>923</v>
      </c>
      <c r="C585" s="106" t="s">
        <v>83</v>
      </c>
      <c r="D585" s="106" t="s">
        <v>12</v>
      </c>
      <c r="E585" s="106" t="s">
        <v>797</v>
      </c>
      <c r="F585" s="105" t="s">
        <v>867</v>
      </c>
      <c r="G585" s="7">
        <v>0</v>
      </c>
    </row>
    <row r="586" spans="2:7" hidden="1" x14ac:dyDescent="0.25">
      <c r="B586" s="267" t="s">
        <v>923</v>
      </c>
      <c r="C586" s="106" t="s">
        <v>83</v>
      </c>
      <c r="D586" s="106" t="s">
        <v>12</v>
      </c>
      <c r="E586" s="106" t="s">
        <v>797</v>
      </c>
      <c r="F586" s="105" t="s">
        <v>868</v>
      </c>
      <c r="G586" s="7">
        <v>8</v>
      </c>
    </row>
    <row r="587" spans="2:7" hidden="1" x14ac:dyDescent="0.25">
      <c r="B587" s="267" t="s">
        <v>923</v>
      </c>
      <c r="C587" s="106" t="s">
        <v>83</v>
      </c>
      <c r="D587" s="106" t="s">
        <v>12</v>
      </c>
      <c r="E587" s="106" t="s">
        <v>788</v>
      </c>
      <c r="F587" s="105" t="s">
        <v>869</v>
      </c>
      <c r="G587" s="7">
        <v>0</v>
      </c>
    </row>
    <row r="588" spans="2:7" hidden="1" x14ac:dyDescent="0.25">
      <c r="B588" s="267" t="s">
        <v>923</v>
      </c>
      <c r="C588" s="106" t="s">
        <v>83</v>
      </c>
      <c r="D588" s="106" t="s">
        <v>12</v>
      </c>
      <c r="E588" s="106" t="s">
        <v>788</v>
      </c>
      <c r="F588" s="105" t="s">
        <v>870</v>
      </c>
      <c r="G588" s="7">
        <v>6</v>
      </c>
    </row>
    <row r="589" spans="2:7" hidden="1" x14ac:dyDescent="0.25">
      <c r="B589" s="267" t="s">
        <v>923</v>
      </c>
      <c r="C589" s="106" t="s">
        <v>83</v>
      </c>
      <c r="D589" s="106" t="s">
        <v>12</v>
      </c>
      <c r="E589" s="106" t="s">
        <v>787</v>
      </c>
      <c r="F589" s="105" t="s">
        <v>871</v>
      </c>
      <c r="G589" s="7">
        <v>0</v>
      </c>
    </row>
    <row r="590" spans="2:7" hidden="1" x14ac:dyDescent="0.25">
      <c r="B590" s="267" t="s">
        <v>923</v>
      </c>
      <c r="C590" s="106" t="s">
        <v>83</v>
      </c>
      <c r="D590" s="106" t="s">
        <v>12</v>
      </c>
      <c r="E590" s="106" t="s">
        <v>787</v>
      </c>
      <c r="F590" s="105" t="s">
        <v>872</v>
      </c>
      <c r="G590" s="7">
        <v>0</v>
      </c>
    </row>
    <row r="591" spans="2:7" hidden="1" x14ac:dyDescent="0.25">
      <c r="B591" s="267" t="s">
        <v>923</v>
      </c>
      <c r="C591" s="106" t="s">
        <v>83</v>
      </c>
      <c r="D591" s="106" t="s">
        <v>12</v>
      </c>
      <c r="E591" s="106" t="s">
        <v>786</v>
      </c>
      <c r="F591" s="105" t="s">
        <v>873</v>
      </c>
      <c r="G591" s="7">
        <v>0</v>
      </c>
    </row>
    <row r="592" spans="2:7" hidden="1" x14ac:dyDescent="0.25">
      <c r="B592" s="267" t="s">
        <v>923</v>
      </c>
      <c r="C592" s="106" t="s">
        <v>83</v>
      </c>
      <c r="D592" s="106" t="s">
        <v>12</v>
      </c>
      <c r="E592" s="106" t="s">
        <v>786</v>
      </c>
      <c r="F592" s="105" t="s">
        <v>874</v>
      </c>
      <c r="G592" s="7">
        <v>0</v>
      </c>
    </row>
    <row r="593" spans="2:7" hidden="1" x14ac:dyDescent="0.25">
      <c r="B593" s="267" t="s">
        <v>923</v>
      </c>
      <c r="C593" s="106" t="s">
        <v>83</v>
      </c>
      <c r="D593" s="106" t="s">
        <v>34</v>
      </c>
      <c r="E593" s="272" t="s">
        <v>799</v>
      </c>
      <c r="F593" s="105" t="s">
        <v>875</v>
      </c>
      <c r="G593" s="7">
        <v>10</v>
      </c>
    </row>
    <row r="594" spans="2:7" hidden="1" x14ac:dyDescent="0.25">
      <c r="B594" s="267" t="s">
        <v>923</v>
      </c>
      <c r="C594" s="106" t="s">
        <v>83</v>
      </c>
      <c r="D594" s="106" t="s">
        <v>34</v>
      </c>
      <c r="E594" s="272" t="s">
        <v>799</v>
      </c>
      <c r="F594" s="105" t="s">
        <v>876</v>
      </c>
      <c r="G594" s="7">
        <v>10</v>
      </c>
    </row>
    <row r="595" spans="2:7" hidden="1" x14ac:dyDescent="0.25">
      <c r="B595" s="267" t="s">
        <v>923</v>
      </c>
      <c r="C595" s="106" t="s">
        <v>83</v>
      </c>
      <c r="D595" s="106" t="s">
        <v>41</v>
      </c>
      <c r="E595" s="272" t="s">
        <v>799</v>
      </c>
      <c r="F595" s="105" t="s">
        <v>877</v>
      </c>
      <c r="G595" s="7">
        <v>5</v>
      </c>
    </row>
    <row r="596" spans="2:7" hidden="1" x14ac:dyDescent="0.25">
      <c r="B596" s="267" t="s">
        <v>923</v>
      </c>
      <c r="C596" s="106" t="s">
        <v>83</v>
      </c>
      <c r="D596" s="106" t="s">
        <v>46</v>
      </c>
      <c r="E596" s="272" t="s">
        <v>799</v>
      </c>
      <c r="F596" s="105" t="s">
        <v>878</v>
      </c>
      <c r="G596" s="7">
        <v>4</v>
      </c>
    </row>
    <row r="597" spans="2:7" hidden="1" x14ac:dyDescent="0.25">
      <c r="B597" s="267" t="s">
        <v>923</v>
      </c>
      <c r="C597" s="106" t="s">
        <v>114</v>
      </c>
      <c r="D597" s="106" t="s">
        <v>12</v>
      </c>
      <c r="E597" s="272" t="s">
        <v>799</v>
      </c>
      <c r="F597" s="105" t="s">
        <v>879</v>
      </c>
      <c r="G597" s="7">
        <v>10</v>
      </c>
    </row>
    <row r="598" spans="2:7" hidden="1" x14ac:dyDescent="0.25">
      <c r="B598" s="267" t="s">
        <v>923</v>
      </c>
      <c r="C598" s="106" t="s">
        <v>114</v>
      </c>
      <c r="D598" s="106" t="s">
        <v>12</v>
      </c>
      <c r="E598" s="272" t="s">
        <v>799</v>
      </c>
      <c r="F598" s="105" t="s">
        <v>880</v>
      </c>
      <c r="G598" s="7">
        <v>10</v>
      </c>
    </row>
    <row r="599" spans="2:7" hidden="1" x14ac:dyDescent="0.25">
      <c r="B599" s="267" t="s">
        <v>923</v>
      </c>
      <c r="C599" s="106" t="s">
        <v>114</v>
      </c>
      <c r="D599" s="106" t="s">
        <v>12</v>
      </c>
      <c r="E599" s="272" t="s">
        <v>799</v>
      </c>
      <c r="F599" s="105" t="s">
        <v>881</v>
      </c>
      <c r="G599" s="7">
        <v>6</v>
      </c>
    </row>
    <row r="600" spans="2:7" hidden="1" x14ac:dyDescent="0.25">
      <c r="B600" s="267" t="s">
        <v>923</v>
      </c>
      <c r="C600" s="106" t="s">
        <v>114</v>
      </c>
      <c r="D600" s="106" t="s">
        <v>12</v>
      </c>
      <c r="E600" s="272" t="s">
        <v>799</v>
      </c>
      <c r="F600" s="105" t="s">
        <v>882</v>
      </c>
      <c r="G600" s="7">
        <v>6</v>
      </c>
    </row>
    <row r="601" spans="2:7" hidden="1" x14ac:dyDescent="0.25">
      <c r="B601" s="267" t="s">
        <v>923</v>
      </c>
      <c r="C601" s="106" t="s">
        <v>114</v>
      </c>
      <c r="D601" s="106" t="s">
        <v>12</v>
      </c>
      <c r="E601" s="272" t="s">
        <v>799</v>
      </c>
      <c r="F601" s="105" t="s">
        <v>883</v>
      </c>
      <c r="G601" s="7">
        <v>7</v>
      </c>
    </row>
    <row r="602" spans="2:7" hidden="1" x14ac:dyDescent="0.25">
      <c r="B602" s="267" t="s">
        <v>923</v>
      </c>
      <c r="C602" s="106" t="s">
        <v>114</v>
      </c>
      <c r="D602" s="106" t="s">
        <v>12</v>
      </c>
      <c r="E602" s="272" t="s">
        <v>799</v>
      </c>
      <c r="F602" s="105" t="s">
        <v>884</v>
      </c>
      <c r="G602" s="7">
        <v>9</v>
      </c>
    </row>
    <row r="603" spans="2:7" hidden="1" x14ac:dyDescent="0.25">
      <c r="B603" s="267" t="s">
        <v>923</v>
      </c>
      <c r="C603" s="106" t="s">
        <v>114</v>
      </c>
      <c r="D603" s="106" t="s">
        <v>12</v>
      </c>
      <c r="E603" s="272" t="s">
        <v>799</v>
      </c>
      <c r="F603" s="105" t="s">
        <v>885</v>
      </c>
      <c r="G603" s="7">
        <v>6</v>
      </c>
    </row>
    <row r="604" spans="2:7" hidden="1" x14ac:dyDescent="0.25">
      <c r="B604" s="267" t="s">
        <v>923</v>
      </c>
      <c r="C604" s="106" t="s">
        <v>114</v>
      </c>
      <c r="D604" s="106" t="s">
        <v>12</v>
      </c>
      <c r="E604" s="106" t="s">
        <v>798</v>
      </c>
      <c r="F604" s="105" t="s">
        <v>886</v>
      </c>
      <c r="G604" s="7">
        <v>7</v>
      </c>
    </row>
    <row r="605" spans="2:7" hidden="1" x14ac:dyDescent="0.25">
      <c r="B605" s="267" t="s">
        <v>923</v>
      </c>
      <c r="C605" s="106" t="s">
        <v>114</v>
      </c>
      <c r="D605" s="106" t="s">
        <v>12</v>
      </c>
      <c r="E605" s="106" t="s">
        <v>797</v>
      </c>
      <c r="F605" s="105" t="s">
        <v>887</v>
      </c>
      <c r="G605" s="7">
        <v>7</v>
      </c>
    </row>
    <row r="606" spans="2:7" hidden="1" x14ac:dyDescent="0.25">
      <c r="B606" s="267" t="s">
        <v>923</v>
      </c>
      <c r="C606" s="106" t="s">
        <v>114</v>
      </c>
      <c r="D606" s="106" t="s">
        <v>12</v>
      </c>
      <c r="E606" s="106" t="s">
        <v>797</v>
      </c>
      <c r="F606" s="105" t="s">
        <v>888</v>
      </c>
      <c r="G606" s="7">
        <v>6</v>
      </c>
    </row>
    <row r="607" spans="2:7" hidden="1" x14ac:dyDescent="0.25">
      <c r="B607" s="267" t="s">
        <v>923</v>
      </c>
      <c r="C607" s="106" t="s">
        <v>114</v>
      </c>
      <c r="D607" s="106" t="s">
        <v>12</v>
      </c>
      <c r="E607" s="106" t="s">
        <v>788</v>
      </c>
      <c r="F607" s="105" t="s">
        <v>889</v>
      </c>
      <c r="G607" s="7">
        <v>0</v>
      </c>
    </row>
    <row r="608" spans="2:7" hidden="1" x14ac:dyDescent="0.25">
      <c r="B608" s="267" t="s">
        <v>923</v>
      </c>
      <c r="C608" s="106" t="s">
        <v>114</v>
      </c>
      <c r="D608" s="106" t="s">
        <v>12</v>
      </c>
      <c r="E608" s="106" t="s">
        <v>788</v>
      </c>
      <c r="F608" s="105" t="s">
        <v>890</v>
      </c>
      <c r="G608" s="7">
        <v>0</v>
      </c>
    </row>
    <row r="609" spans="2:7" hidden="1" x14ac:dyDescent="0.25">
      <c r="B609" s="267" t="s">
        <v>923</v>
      </c>
      <c r="C609" s="106" t="s">
        <v>114</v>
      </c>
      <c r="D609" s="106" t="s">
        <v>12</v>
      </c>
      <c r="E609" s="106" t="s">
        <v>787</v>
      </c>
      <c r="F609" s="105" t="s">
        <v>891</v>
      </c>
      <c r="G609" s="7">
        <v>5</v>
      </c>
    </row>
    <row r="610" spans="2:7" hidden="1" x14ac:dyDescent="0.25">
      <c r="B610" s="267" t="s">
        <v>923</v>
      </c>
      <c r="C610" s="106" t="s">
        <v>114</v>
      </c>
      <c r="D610" s="106" t="s">
        <v>12</v>
      </c>
      <c r="E610" s="106" t="s">
        <v>787</v>
      </c>
      <c r="F610" s="105" t="s">
        <v>892</v>
      </c>
      <c r="G610" s="7">
        <v>5</v>
      </c>
    </row>
    <row r="611" spans="2:7" hidden="1" x14ac:dyDescent="0.25">
      <c r="B611" s="267" t="s">
        <v>923</v>
      </c>
      <c r="C611" s="106" t="s">
        <v>114</v>
      </c>
      <c r="D611" s="106" t="s">
        <v>12</v>
      </c>
      <c r="E611" s="106" t="s">
        <v>786</v>
      </c>
      <c r="F611" s="105" t="s">
        <v>893</v>
      </c>
      <c r="G611" s="7">
        <v>0</v>
      </c>
    </row>
    <row r="612" spans="2:7" hidden="1" x14ac:dyDescent="0.25">
      <c r="B612" s="267" t="s">
        <v>923</v>
      </c>
      <c r="C612" s="106" t="s">
        <v>114</v>
      </c>
      <c r="D612" s="106" t="s">
        <v>12</v>
      </c>
      <c r="E612" s="106" t="s">
        <v>786</v>
      </c>
      <c r="F612" s="105" t="s">
        <v>894</v>
      </c>
      <c r="G612" s="7">
        <v>0</v>
      </c>
    </row>
    <row r="613" spans="2:7" hidden="1" x14ac:dyDescent="0.25">
      <c r="B613" s="267" t="s">
        <v>923</v>
      </c>
      <c r="C613" s="106" t="s">
        <v>114</v>
      </c>
      <c r="D613" s="106" t="s">
        <v>34</v>
      </c>
      <c r="E613" s="272" t="s">
        <v>799</v>
      </c>
      <c r="F613" s="105" t="s">
        <v>895</v>
      </c>
      <c r="G613" s="7">
        <v>10</v>
      </c>
    </row>
    <row r="614" spans="2:7" hidden="1" x14ac:dyDescent="0.25">
      <c r="B614" s="267" t="s">
        <v>923</v>
      </c>
      <c r="C614" s="106" t="s">
        <v>114</v>
      </c>
      <c r="D614" s="106" t="s">
        <v>34</v>
      </c>
      <c r="E614" s="272" t="s">
        <v>799</v>
      </c>
      <c r="F614" s="105" t="s">
        <v>896</v>
      </c>
      <c r="G614" s="7">
        <v>10</v>
      </c>
    </row>
    <row r="615" spans="2:7" hidden="1" x14ac:dyDescent="0.25">
      <c r="B615" s="267" t="s">
        <v>923</v>
      </c>
      <c r="C615" s="106" t="s">
        <v>114</v>
      </c>
      <c r="D615" s="106" t="s">
        <v>41</v>
      </c>
      <c r="E615" s="272" t="s">
        <v>799</v>
      </c>
      <c r="F615" s="105" t="s">
        <v>897</v>
      </c>
      <c r="G615" s="7">
        <v>5</v>
      </c>
    </row>
    <row r="616" spans="2:7" hidden="1" x14ac:dyDescent="0.25">
      <c r="B616" s="267" t="s">
        <v>923</v>
      </c>
      <c r="C616" s="106" t="s">
        <v>114</v>
      </c>
      <c r="D616" s="106" t="s">
        <v>41</v>
      </c>
      <c r="E616" s="272" t="s">
        <v>799</v>
      </c>
      <c r="F616" s="105" t="s">
        <v>898</v>
      </c>
      <c r="G616" s="7">
        <v>5</v>
      </c>
    </row>
    <row r="617" spans="2:7" hidden="1" x14ac:dyDescent="0.25">
      <c r="B617" s="267" t="s">
        <v>923</v>
      </c>
      <c r="C617" s="106" t="s">
        <v>114</v>
      </c>
      <c r="D617" s="106" t="s">
        <v>46</v>
      </c>
      <c r="E617" s="272" t="s">
        <v>799</v>
      </c>
      <c r="F617" s="105" t="s">
        <v>899</v>
      </c>
      <c r="G617" s="7">
        <v>4</v>
      </c>
    </row>
    <row r="618" spans="2:7" hidden="1" x14ac:dyDescent="0.25">
      <c r="B618" s="273" t="s">
        <v>934</v>
      </c>
      <c r="C618" s="6" t="s">
        <v>11</v>
      </c>
      <c r="D618" s="6" t="s">
        <v>12</v>
      </c>
      <c r="E618" s="203" t="s">
        <v>799</v>
      </c>
      <c r="F618" s="7" t="s">
        <v>812</v>
      </c>
      <c r="G618" s="7">
        <v>10</v>
      </c>
    </row>
    <row r="619" spans="2:7" hidden="1" x14ac:dyDescent="0.25">
      <c r="B619" s="273" t="s">
        <v>934</v>
      </c>
      <c r="C619" s="106" t="s">
        <v>11</v>
      </c>
      <c r="D619" s="106" t="s">
        <v>12</v>
      </c>
      <c r="E619" s="272" t="s">
        <v>799</v>
      </c>
      <c r="F619" s="105" t="s">
        <v>813</v>
      </c>
      <c r="G619" s="7">
        <v>10</v>
      </c>
    </row>
    <row r="620" spans="2:7" hidden="1" x14ac:dyDescent="0.25">
      <c r="B620" s="273" t="s">
        <v>934</v>
      </c>
      <c r="C620" s="106" t="s">
        <v>11</v>
      </c>
      <c r="D620" s="106" t="s">
        <v>12</v>
      </c>
      <c r="E620" s="272" t="s">
        <v>799</v>
      </c>
      <c r="F620" s="105" t="s">
        <v>814</v>
      </c>
      <c r="G620" s="7">
        <v>10</v>
      </c>
    </row>
    <row r="621" spans="2:7" hidden="1" x14ac:dyDescent="0.25">
      <c r="B621" s="273" t="s">
        <v>934</v>
      </c>
      <c r="C621" s="106" t="s">
        <v>11</v>
      </c>
      <c r="D621" s="106" t="s">
        <v>12</v>
      </c>
      <c r="E621" s="272" t="s">
        <v>799</v>
      </c>
      <c r="F621" s="105" t="s">
        <v>815</v>
      </c>
      <c r="G621" s="7">
        <v>10</v>
      </c>
    </row>
    <row r="622" spans="2:7" hidden="1" x14ac:dyDescent="0.25">
      <c r="B622" s="273" t="s">
        <v>934</v>
      </c>
      <c r="C622" s="106" t="s">
        <v>11</v>
      </c>
      <c r="D622" s="106" t="s">
        <v>12</v>
      </c>
      <c r="E622" s="272" t="s">
        <v>799</v>
      </c>
      <c r="F622" s="105" t="s">
        <v>816</v>
      </c>
      <c r="G622" s="7">
        <v>10</v>
      </c>
    </row>
    <row r="623" spans="2:7" hidden="1" x14ac:dyDescent="0.25">
      <c r="B623" s="273" t="s">
        <v>934</v>
      </c>
      <c r="C623" s="106" t="s">
        <v>11</v>
      </c>
      <c r="D623" s="106" t="s">
        <v>12</v>
      </c>
      <c r="E623" s="272" t="s">
        <v>799</v>
      </c>
      <c r="F623" s="105" t="s">
        <v>817</v>
      </c>
      <c r="G623" s="7">
        <v>10</v>
      </c>
    </row>
    <row r="624" spans="2:7" hidden="1" x14ac:dyDescent="0.25">
      <c r="B624" s="273" t="s">
        <v>934</v>
      </c>
      <c r="C624" s="106" t="s">
        <v>11</v>
      </c>
      <c r="D624" s="106" t="s">
        <v>12</v>
      </c>
      <c r="E624" s="272" t="s">
        <v>799</v>
      </c>
      <c r="F624" s="105" t="s">
        <v>818</v>
      </c>
      <c r="G624" s="7">
        <v>10</v>
      </c>
    </row>
    <row r="625" spans="2:7" hidden="1" x14ac:dyDescent="0.25">
      <c r="B625" s="273" t="s">
        <v>934</v>
      </c>
      <c r="C625" s="106" t="s">
        <v>11</v>
      </c>
      <c r="D625" s="106" t="s">
        <v>12</v>
      </c>
      <c r="E625" s="106" t="s">
        <v>798</v>
      </c>
      <c r="F625" s="105" t="s">
        <v>819</v>
      </c>
      <c r="G625" s="7">
        <v>10</v>
      </c>
    </row>
    <row r="626" spans="2:7" hidden="1" x14ac:dyDescent="0.25">
      <c r="B626" s="273" t="s">
        <v>934</v>
      </c>
      <c r="C626" s="106" t="s">
        <v>11</v>
      </c>
      <c r="D626" s="106" t="s">
        <v>12</v>
      </c>
      <c r="E626" s="106" t="s">
        <v>797</v>
      </c>
      <c r="F626" s="105" t="s">
        <v>820</v>
      </c>
      <c r="G626" s="7">
        <v>9</v>
      </c>
    </row>
    <row r="627" spans="2:7" hidden="1" x14ac:dyDescent="0.25">
      <c r="B627" s="273" t="s">
        <v>934</v>
      </c>
      <c r="C627" s="106" t="s">
        <v>11</v>
      </c>
      <c r="D627" s="106" t="s">
        <v>12</v>
      </c>
      <c r="E627" s="106" t="s">
        <v>797</v>
      </c>
      <c r="F627" s="105" t="s">
        <v>821</v>
      </c>
      <c r="G627" s="7">
        <v>9</v>
      </c>
    </row>
    <row r="628" spans="2:7" hidden="1" x14ac:dyDescent="0.25">
      <c r="B628" s="273" t="s">
        <v>934</v>
      </c>
      <c r="C628" s="106" t="s">
        <v>11</v>
      </c>
      <c r="D628" s="106" t="s">
        <v>12</v>
      </c>
      <c r="E628" s="106" t="s">
        <v>788</v>
      </c>
      <c r="F628" s="105" t="s">
        <v>822</v>
      </c>
      <c r="G628" s="7">
        <v>8</v>
      </c>
    </row>
    <row r="629" spans="2:7" hidden="1" x14ac:dyDescent="0.25">
      <c r="B629" s="273" t="s">
        <v>934</v>
      </c>
      <c r="C629" s="106" t="s">
        <v>11</v>
      </c>
      <c r="D629" s="106" t="s">
        <v>12</v>
      </c>
      <c r="E629" s="106" t="s">
        <v>788</v>
      </c>
      <c r="F629" s="105" t="s">
        <v>823</v>
      </c>
      <c r="G629" s="7">
        <v>0</v>
      </c>
    </row>
    <row r="630" spans="2:7" hidden="1" x14ac:dyDescent="0.25">
      <c r="B630" s="273" t="s">
        <v>934</v>
      </c>
      <c r="C630" s="106" t="s">
        <v>11</v>
      </c>
      <c r="D630" s="106" t="s">
        <v>12</v>
      </c>
      <c r="E630" s="106" t="s">
        <v>787</v>
      </c>
      <c r="F630" s="105" t="s">
        <v>824</v>
      </c>
      <c r="G630" s="7">
        <v>0</v>
      </c>
    </row>
    <row r="631" spans="2:7" hidden="1" x14ac:dyDescent="0.25">
      <c r="B631" s="273" t="s">
        <v>934</v>
      </c>
      <c r="C631" s="106" t="s">
        <v>11</v>
      </c>
      <c r="D631" s="106" t="s">
        <v>12</v>
      </c>
      <c r="E631" s="106" t="s">
        <v>787</v>
      </c>
      <c r="F631" s="105" t="s">
        <v>825</v>
      </c>
      <c r="G631" s="7">
        <v>7</v>
      </c>
    </row>
    <row r="632" spans="2:7" hidden="1" x14ac:dyDescent="0.25">
      <c r="B632" s="273" t="s">
        <v>934</v>
      </c>
      <c r="C632" s="106" t="s">
        <v>11</v>
      </c>
      <c r="D632" s="106" t="s">
        <v>12</v>
      </c>
      <c r="E632" s="106" t="s">
        <v>786</v>
      </c>
      <c r="F632" s="105" t="s">
        <v>826</v>
      </c>
      <c r="G632" s="7">
        <v>0</v>
      </c>
    </row>
    <row r="633" spans="2:7" hidden="1" x14ac:dyDescent="0.25">
      <c r="B633" s="273" t="s">
        <v>934</v>
      </c>
      <c r="C633" s="106" t="s">
        <v>11</v>
      </c>
      <c r="D633" s="106" t="s">
        <v>12</v>
      </c>
      <c r="E633" s="106" t="s">
        <v>786</v>
      </c>
      <c r="F633" s="105" t="s">
        <v>827</v>
      </c>
      <c r="G633" s="7">
        <v>0</v>
      </c>
    </row>
    <row r="634" spans="2:7" hidden="1" x14ac:dyDescent="0.25">
      <c r="B634" s="273" t="s">
        <v>934</v>
      </c>
      <c r="C634" s="106" t="s">
        <v>11</v>
      </c>
      <c r="D634" s="106" t="s">
        <v>34</v>
      </c>
      <c r="E634" s="272" t="s">
        <v>799</v>
      </c>
      <c r="F634" s="105" t="s">
        <v>828</v>
      </c>
      <c r="G634" s="7">
        <v>10</v>
      </c>
    </row>
    <row r="635" spans="2:7" hidden="1" x14ac:dyDescent="0.25">
      <c r="B635" s="273" t="s">
        <v>934</v>
      </c>
      <c r="C635" s="106" t="s">
        <v>11</v>
      </c>
      <c r="D635" s="106" t="s">
        <v>34</v>
      </c>
      <c r="E635" s="272" t="s">
        <v>799</v>
      </c>
      <c r="F635" s="105" t="s">
        <v>829</v>
      </c>
      <c r="G635" s="7">
        <v>10</v>
      </c>
    </row>
    <row r="636" spans="2:7" hidden="1" x14ac:dyDescent="0.25">
      <c r="B636" s="273" t="s">
        <v>934</v>
      </c>
      <c r="C636" s="106" t="s">
        <v>11</v>
      </c>
      <c r="D636" s="106" t="s">
        <v>41</v>
      </c>
      <c r="E636" s="272" t="s">
        <v>799</v>
      </c>
      <c r="F636" s="105" t="s">
        <v>830</v>
      </c>
      <c r="G636" s="7">
        <v>5</v>
      </c>
    </row>
    <row r="637" spans="2:7" hidden="1" x14ac:dyDescent="0.25">
      <c r="B637" s="273" t="s">
        <v>934</v>
      </c>
      <c r="C637" s="106" t="s">
        <v>11</v>
      </c>
      <c r="D637" s="106" t="s">
        <v>41</v>
      </c>
      <c r="E637" s="272" t="s">
        <v>799</v>
      </c>
      <c r="F637" s="105" t="s">
        <v>831</v>
      </c>
      <c r="G637" s="7">
        <v>5</v>
      </c>
    </row>
    <row r="638" spans="2:7" hidden="1" x14ac:dyDescent="0.25">
      <c r="B638" s="273" t="s">
        <v>934</v>
      </c>
      <c r="C638" s="106" t="s">
        <v>11</v>
      </c>
      <c r="D638" s="106" t="s">
        <v>41</v>
      </c>
      <c r="E638" s="272" t="s">
        <v>799</v>
      </c>
      <c r="F638" s="105" t="s">
        <v>832</v>
      </c>
      <c r="G638" s="7">
        <v>5</v>
      </c>
    </row>
    <row r="639" spans="2:7" hidden="1" x14ac:dyDescent="0.25">
      <c r="B639" s="273" t="s">
        <v>934</v>
      </c>
      <c r="C639" s="106" t="s">
        <v>11</v>
      </c>
      <c r="D639" s="106" t="s">
        <v>46</v>
      </c>
      <c r="E639" s="272" t="s">
        <v>799</v>
      </c>
      <c r="F639" s="105" t="s">
        <v>833</v>
      </c>
      <c r="G639" s="7">
        <v>4</v>
      </c>
    </row>
    <row r="640" spans="2:7" hidden="1" x14ac:dyDescent="0.25">
      <c r="B640" s="273" t="s">
        <v>934</v>
      </c>
      <c r="C640" s="106" t="s">
        <v>48</v>
      </c>
      <c r="D640" s="106" t="s">
        <v>12</v>
      </c>
      <c r="E640" s="272" t="s">
        <v>799</v>
      </c>
      <c r="F640" s="105" t="s">
        <v>834</v>
      </c>
      <c r="G640" s="7">
        <v>10</v>
      </c>
    </row>
    <row r="641" spans="2:7" hidden="1" x14ac:dyDescent="0.25">
      <c r="B641" s="273" t="s">
        <v>934</v>
      </c>
      <c r="C641" s="106" t="s">
        <v>48</v>
      </c>
      <c r="D641" s="106" t="s">
        <v>12</v>
      </c>
      <c r="E641" s="272" t="s">
        <v>799</v>
      </c>
      <c r="F641" s="105" t="s">
        <v>835</v>
      </c>
      <c r="G641" s="7">
        <v>10</v>
      </c>
    </row>
    <row r="642" spans="2:7" hidden="1" x14ac:dyDescent="0.25">
      <c r="B642" s="273" t="s">
        <v>934</v>
      </c>
      <c r="C642" s="106" t="s">
        <v>48</v>
      </c>
      <c r="D642" s="106" t="s">
        <v>12</v>
      </c>
      <c r="E642" s="272" t="s">
        <v>799</v>
      </c>
      <c r="F642" s="105" t="s">
        <v>836</v>
      </c>
      <c r="G642" s="7">
        <v>10</v>
      </c>
    </row>
    <row r="643" spans="2:7" hidden="1" x14ac:dyDescent="0.25">
      <c r="B643" s="273" t="s">
        <v>934</v>
      </c>
      <c r="C643" s="106" t="s">
        <v>48</v>
      </c>
      <c r="D643" s="106" t="s">
        <v>12</v>
      </c>
      <c r="E643" s="272" t="s">
        <v>799</v>
      </c>
      <c r="F643" s="105" t="s">
        <v>837</v>
      </c>
      <c r="G643" s="7">
        <v>10</v>
      </c>
    </row>
    <row r="644" spans="2:7" hidden="1" x14ac:dyDescent="0.25">
      <c r="B644" s="273" t="s">
        <v>934</v>
      </c>
      <c r="C644" s="106" t="s">
        <v>48</v>
      </c>
      <c r="D644" s="106" t="s">
        <v>12</v>
      </c>
      <c r="E644" s="272" t="s">
        <v>799</v>
      </c>
      <c r="F644" s="105" t="s">
        <v>838</v>
      </c>
      <c r="G644" s="7">
        <v>10</v>
      </c>
    </row>
    <row r="645" spans="2:7" hidden="1" x14ac:dyDescent="0.25">
      <c r="B645" s="273" t="s">
        <v>934</v>
      </c>
      <c r="C645" s="106" t="s">
        <v>48</v>
      </c>
      <c r="D645" s="106" t="s">
        <v>12</v>
      </c>
      <c r="E645" s="272" t="s">
        <v>799</v>
      </c>
      <c r="F645" s="105" t="s">
        <v>839</v>
      </c>
      <c r="G645" s="7">
        <v>10</v>
      </c>
    </row>
    <row r="646" spans="2:7" hidden="1" x14ac:dyDescent="0.25">
      <c r="B646" s="273" t="s">
        <v>934</v>
      </c>
      <c r="C646" s="106" t="s">
        <v>48</v>
      </c>
      <c r="D646" s="106" t="s">
        <v>12</v>
      </c>
      <c r="E646" s="272" t="s">
        <v>799</v>
      </c>
      <c r="F646" s="105" t="s">
        <v>840</v>
      </c>
      <c r="G646" s="7">
        <v>10</v>
      </c>
    </row>
    <row r="647" spans="2:7" hidden="1" x14ac:dyDescent="0.25">
      <c r="B647" s="273" t="s">
        <v>934</v>
      </c>
      <c r="C647" s="106" t="s">
        <v>48</v>
      </c>
      <c r="D647" s="106" t="s">
        <v>12</v>
      </c>
      <c r="E647" s="272" t="s">
        <v>799</v>
      </c>
      <c r="F647" s="105" t="s">
        <v>841</v>
      </c>
      <c r="G647" s="7">
        <v>10</v>
      </c>
    </row>
    <row r="648" spans="2:7" hidden="1" x14ac:dyDescent="0.25">
      <c r="B648" s="273" t="s">
        <v>934</v>
      </c>
      <c r="C648" s="106" t="s">
        <v>48</v>
      </c>
      <c r="D648" s="106" t="s">
        <v>12</v>
      </c>
      <c r="E648" s="106" t="s">
        <v>798</v>
      </c>
      <c r="F648" s="105" t="s">
        <v>842</v>
      </c>
      <c r="G648" s="7">
        <v>9</v>
      </c>
    </row>
    <row r="649" spans="2:7" hidden="1" x14ac:dyDescent="0.25">
      <c r="B649" s="273" t="s">
        <v>934</v>
      </c>
      <c r="C649" s="106" t="s">
        <v>48</v>
      </c>
      <c r="D649" s="106" t="s">
        <v>12</v>
      </c>
      <c r="E649" s="106" t="s">
        <v>798</v>
      </c>
      <c r="F649" s="105" t="s">
        <v>843</v>
      </c>
      <c r="G649" s="7">
        <v>10</v>
      </c>
    </row>
    <row r="650" spans="2:7" hidden="1" x14ac:dyDescent="0.25">
      <c r="B650" s="273" t="s">
        <v>934</v>
      </c>
      <c r="C650" s="106" t="s">
        <v>48</v>
      </c>
      <c r="D650" s="106" t="s">
        <v>12</v>
      </c>
      <c r="E650" s="106" t="s">
        <v>797</v>
      </c>
      <c r="F650" s="105" t="s">
        <v>844</v>
      </c>
      <c r="G650" s="7">
        <v>10</v>
      </c>
    </row>
    <row r="651" spans="2:7" hidden="1" x14ac:dyDescent="0.25">
      <c r="B651" s="273" t="s">
        <v>934</v>
      </c>
      <c r="C651" s="106" t="s">
        <v>48</v>
      </c>
      <c r="D651" s="106" t="s">
        <v>12</v>
      </c>
      <c r="E651" s="106" t="s">
        <v>797</v>
      </c>
      <c r="F651" s="105" t="s">
        <v>845</v>
      </c>
      <c r="G651" s="7">
        <v>8</v>
      </c>
    </row>
    <row r="652" spans="2:7" hidden="1" x14ac:dyDescent="0.25">
      <c r="B652" s="273" t="s">
        <v>934</v>
      </c>
      <c r="C652" s="106" t="s">
        <v>48</v>
      </c>
      <c r="D652" s="106" t="s">
        <v>12</v>
      </c>
      <c r="E652" s="106" t="s">
        <v>788</v>
      </c>
      <c r="F652" s="105" t="s">
        <v>846</v>
      </c>
      <c r="G652" s="7">
        <v>5</v>
      </c>
    </row>
    <row r="653" spans="2:7" hidden="1" x14ac:dyDescent="0.25">
      <c r="B653" s="273" t="s">
        <v>934</v>
      </c>
      <c r="C653" s="106" t="s">
        <v>48</v>
      </c>
      <c r="D653" s="106" t="s">
        <v>12</v>
      </c>
      <c r="E653" s="106" t="s">
        <v>788</v>
      </c>
      <c r="F653" s="105" t="s">
        <v>847</v>
      </c>
      <c r="G653" s="7">
        <v>7</v>
      </c>
    </row>
    <row r="654" spans="2:7" hidden="1" x14ac:dyDescent="0.25">
      <c r="B654" s="273" t="s">
        <v>934</v>
      </c>
      <c r="C654" s="106" t="s">
        <v>48</v>
      </c>
      <c r="D654" s="106" t="s">
        <v>12</v>
      </c>
      <c r="E654" s="106" t="s">
        <v>787</v>
      </c>
      <c r="F654" s="105" t="s">
        <v>848</v>
      </c>
      <c r="G654" s="7">
        <v>5</v>
      </c>
    </row>
    <row r="655" spans="2:7" hidden="1" x14ac:dyDescent="0.25">
      <c r="B655" s="273" t="s">
        <v>934</v>
      </c>
      <c r="C655" s="106" t="s">
        <v>48</v>
      </c>
      <c r="D655" s="106" t="s">
        <v>12</v>
      </c>
      <c r="E655" s="106" t="s">
        <v>787</v>
      </c>
      <c r="F655" s="105" t="s">
        <v>849</v>
      </c>
      <c r="G655" s="7">
        <v>0</v>
      </c>
    </row>
    <row r="656" spans="2:7" hidden="1" x14ac:dyDescent="0.25">
      <c r="B656" s="273" t="s">
        <v>934</v>
      </c>
      <c r="C656" s="106" t="s">
        <v>48</v>
      </c>
      <c r="D656" s="106" t="s">
        <v>12</v>
      </c>
      <c r="E656" s="106" t="s">
        <v>786</v>
      </c>
      <c r="F656" s="105" t="s">
        <v>850</v>
      </c>
      <c r="G656" s="7">
        <v>0</v>
      </c>
    </row>
    <row r="657" spans="2:7" hidden="1" x14ac:dyDescent="0.25">
      <c r="B657" s="273" t="s">
        <v>934</v>
      </c>
      <c r="C657" s="106" t="s">
        <v>48</v>
      </c>
      <c r="D657" s="106" t="s">
        <v>12</v>
      </c>
      <c r="E657" s="106" t="s">
        <v>786</v>
      </c>
      <c r="F657" s="105" t="s">
        <v>851</v>
      </c>
      <c r="G657" s="7">
        <v>0</v>
      </c>
    </row>
    <row r="658" spans="2:7" hidden="1" x14ac:dyDescent="0.25">
      <c r="B658" s="273" t="s">
        <v>934</v>
      </c>
      <c r="C658" s="106" t="s">
        <v>48</v>
      </c>
      <c r="D658" s="106" t="s">
        <v>34</v>
      </c>
      <c r="E658" s="272" t="s">
        <v>799</v>
      </c>
      <c r="F658" s="105" t="s">
        <v>852</v>
      </c>
      <c r="G658" s="7">
        <v>10</v>
      </c>
    </row>
    <row r="659" spans="2:7" hidden="1" x14ac:dyDescent="0.25">
      <c r="B659" s="273" t="s">
        <v>934</v>
      </c>
      <c r="C659" s="106" t="s">
        <v>48</v>
      </c>
      <c r="D659" s="106" t="s">
        <v>34</v>
      </c>
      <c r="E659" s="272" t="s">
        <v>799</v>
      </c>
      <c r="F659" s="105" t="s">
        <v>853</v>
      </c>
      <c r="G659" s="7">
        <v>10</v>
      </c>
    </row>
    <row r="660" spans="2:7" hidden="1" x14ac:dyDescent="0.25">
      <c r="B660" s="273" t="s">
        <v>934</v>
      </c>
      <c r="C660" s="106" t="s">
        <v>48</v>
      </c>
      <c r="D660" s="106" t="s">
        <v>41</v>
      </c>
      <c r="E660" s="272" t="s">
        <v>799</v>
      </c>
      <c r="F660" s="105" t="s">
        <v>854</v>
      </c>
      <c r="G660" s="7">
        <v>5</v>
      </c>
    </row>
    <row r="661" spans="2:7" hidden="1" x14ac:dyDescent="0.25">
      <c r="B661" s="273" t="s">
        <v>934</v>
      </c>
      <c r="C661" s="106" t="s">
        <v>48</v>
      </c>
      <c r="D661" s="106" t="s">
        <v>41</v>
      </c>
      <c r="E661" s="272" t="s">
        <v>799</v>
      </c>
      <c r="F661" s="105" t="s">
        <v>855</v>
      </c>
      <c r="G661" s="7">
        <v>5</v>
      </c>
    </row>
    <row r="662" spans="2:7" hidden="1" x14ac:dyDescent="0.25">
      <c r="B662" s="273" t="s">
        <v>934</v>
      </c>
      <c r="C662" s="106" t="s">
        <v>48</v>
      </c>
      <c r="D662" s="106" t="s">
        <v>46</v>
      </c>
      <c r="E662" s="272" t="s">
        <v>799</v>
      </c>
      <c r="F662" s="105" t="s">
        <v>856</v>
      </c>
      <c r="G662" s="7">
        <v>4</v>
      </c>
    </row>
    <row r="663" spans="2:7" hidden="1" x14ac:dyDescent="0.25">
      <c r="B663" s="273" t="s">
        <v>934</v>
      </c>
      <c r="C663" s="106" t="s">
        <v>83</v>
      </c>
      <c r="D663" s="106" t="s">
        <v>12</v>
      </c>
      <c r="E663" s="272" t="s">
        <v>799</v>
      </c>
      <c r="F663" s="105" t="s">
        <v>857</v>
      </c>
      <c r="G663" s="7">
        <v>10</v>
      </c>
    </row>
    <row r="664" spans="2:7" hidden="1" x14ac:dyDescent="0.25">
      <c r="B664" s="273" t="s">
        <v>934</v>
      </c>
      <c r="C664" s="106" t="s">
        <v>83</v>
      </c>
      <c r="D664" s="106" t="s">
        <v>12</v>
      </c>
      <c r="E664" s="272" t="s">
        <v>799</v>
      </c>
      <c r="F664" s="105" t="s">
        <v>858</v>
      </c>
      <c r="G664" s="7">
        <v>10</v>
      </c>
    </row>
    <row r="665" spans="2:7" hidden="1" x14ac:dyDescent="0.25">
      <c r="B665" s="273" t="s">
        <v>934</v>
      </c>
      <c r="C665" s="106" t="s">
        <v>83</v>
      </c>
      <c r="D665" s="106" t="s">
        <v>12</v>
      </c>
      <c r="E665" s="272" t="s">
        <v>799</v>
      </c>
      <c r="F665" s="105" t="s">
        <v>859</v>
      </c>
      <c r="G665" s="7">
        <v>10</v>
      </c>
    </row>
    <row r="666" spans="2:7" hidden="1" x14ac:dyDescent="0.25">
      <c r="B666" s="273" t="s">
        <v>934</v>
      </c>
      <c r="C666" s="106" t="s">
        <v>83</v>
      </c>
      <c r="D666" s="106" t="s">
        <v>12</v>
      </c>
      <c r="E666" s="272" t="s">
        <v>799</v>
      </c>
      <c r="F666" s="105" t="s">
        <v>860</v>
      </c>
      <c r="G666" s="7">
        <v>10</v>
      </c>
    </row>
    <row r="667" spans="2:7" hidden="1" x14ac:dyDescent="0.25">
      <c r="B667" s="273" t="s">
        <v>934</v>
      </c>
      <c r="C667" s="106" t="s">
        <v>83</v>
      </c>
      <c r="D667" s="106" t="s">
        <v>12</v>
      </c>
      <c r="E667" s="272" t="s">
        <v>799</v>
      </c>
      <c r="F667" s="105" t="s">
        <v>861</v>
      </c>
      <c r="G667" s="7">
        <v>10</v>
      </c>
    </row>
    <row r="668" spans="2:7" hidden="1" x14ac:dyDescent="0.25">
      <c r="B668" s="273" t="s">
        <v>934</v>
      </c>
      <c r="C668" s="106" t="s">
        <v>83</v>
      </c>
      <c r="D668" s="106" t="s">
        <v>12</v>
      </c>
      <c r="E668" s="272" t="s">
        <v>799</v>
      </c>
      <c r="F668" s="105" t="s">
        <v>862</v>
      </c>
      <c r="G668" s="7">
        <v>10</v>
      </c>
    </row>
    <row r="669" spans="2:7" hidden="1" x14ac:dyDescent="0.25">
      <c r="B669" s="273" t="s">
        <v>934</v>
      </c>
      <c r="C669" s="106" t="s">
        <v>83</v>
      </c>
      <c r="D669" s="106" t="s">
        <v>12</v>
      </c>
      <c r="E669" s="272" t="s">
        <v>799</v>
      </c>
      <c r="F669" s="105" t="s">
        <v>863</v>
      </c>
      <c r="G669" s="7">
        <v>10</v>
      </c>
    </row>
    <row r="670" spans="2:7" hidden="1" x14ac:dyDescent="0.25">
      <c r="B670" s="273" t="s">
        <v>934</v>
      </c>
      <c r="C670" s="106" t="s">
        <v>83</v>
      </c>
      <c r="D670" s="106" t="s">
        <v>12</v>
      </c>
      <c r="E670" s="272" t="s">
        <v>799</v>
      </c>
      <c r="F670" s="105" t="s">
        <v>864</v>
      </c>
      <c r="G670" s="7">
        <v>10</v>
      </c>
    </row>
    <row r="671" spans="2:7" hidden="1" x14ac:dyDescent="0.25">
      <c r="B671" s="273" t="s">
        <v>934</v>
      </c>
      <c r="C671" s="106" t="s">
        <v>83</v>
      </c>
      <c r="D671" s="106" t="s">
        <v>12</v>
      </c>
      <c r="E671" s="106" t="s">
        <v>798</v>
      </c>
      <c r="F671" s="105" t="s">
        <v>865</v>
      </c>
      <c r="G671" s="7">
        <v>10</v>
      </c>
    </row>
    <row r="672" spans="2:7" hidden="1" x14ac:dyDescent="0.25">
      <c r="B672" s="273" t="s">
        <v>934</v>
      </c>
      <c r="C672" s="106" t="s">
        <v>83</v>
      </c>
      <c r="D672" s="106" t="s">
        <v>12</v>
      </c>
      <c r="E672" s="106" t="s">
        <v>798</v>
      </c>
      <c r="F672" s="105" t="s">
        <v>866</v>
      </c>
      <c r="G672" s="7">
        <v>10</v>
      </c>
    </row>
    <row r="673" spans="2:7" hidden="1" x14ac:dyDescent="0.25">
      <c r="B673" s="273" t="s">
        <v>934</v>
      </c>
      <c r="C673" s="106" t="s">
        <v>83</v>
      </c>
      <c r="D673" s="106" t="s">
        <v>12</v>
      </c>
      <c r="E673" s="106" t="s">
        <v>797</v>
      </c>
      <c r="F673" s="105" t="s">
        <v>867</v>
      </c>
      <c r="G673" s="7">
        <v>8</v>
      </c>
    </row>
    <row r="674" spans="2:7" hidden="1" x14ac:dyDescent="0.25">
      <c r="B674" s="273" t="s">
        <v>934</v>
      </c>
      <c r="C674" s="106" t="s">
        <v>83</v>
      </c>
      <c r="D674" s="106" t="s">
        <v>12</v>
      </c>
      <c r="E674" s="106" t="s">
        <v>797</v>
      </c>
      <c r="F674" s="105" t="s">
        <v>868</v>
      </c>
      <c r="G674" s="7">
        <v>9</v>
      </c>
    </row>
    <row r="675" spans="2:7" hidden="1" x14ac:dyDescent="0.25">
      <c r="B675" s="273" t="s">
        <v>934</v>
      </c>
      <c r="C675" s="106" t="s">
        <v>83</v>
      </c>
      <c r="D675" s="106" t="s">
        <v>12</v>
      </c>
      <c r="E675" s="106" t="s">
        <v>788</v>
      </c>
      <c r="F675" s="105" t="s">
        <v>869</v>
      </c>
      <c r="G675" s="7">
        <v>5</v>
      </c>
    </row>
    <row r="676" spans="2:7" hidden="1" x14ac:dyDescent="0.25">
      <c r="B676" s="273" t="s">
        <v>934</v>
      </c>
      <c r="C676" s="106" t="s">
        <v>83</v>
      </c>
      <c r="D676" s="106" t="s">
        <v>12</v>
      </c>
      <c r="E676" s="106" t="s">
        <v>788</v>
      </c>
      <c r="F676" s="105" t="s">
        <v>870</v>
      </c>
      <c r="G676" s="7">
        <v>7</v>
      </c>
    </row>
    <row r="677" spans="2:7" hidden="1" x14ac:dyDescent="0.25">
      <c r="B677" s="273" t="s">
        <v>934</v>
      </c>
      <c r="C677" s="106" t="s">
        <v>83</v>
      </c>
      <c r="D677" s="106" t="s">
        <v>12</v>
      </c>
      <c r="E677" s="106" t="s">
        <v>787</v>
      </c>
      <c r="F677" s="105" t="s">
        <v>871</v>
      </c>
      <c r="G677" s="7">
        <v>5</v>
      </c>
    </row>
    <row r="678" spans="2:7" hidden="1" x14ac:dyDescent="0.25">
      <c r="B678" s="273" t="s">
        <v>934</v>
      </c>
      <c r="C678" s="106" t="s">
        <v>83</v>
      </c>
      <c r="D678" s="106" t="s">
        <v>12</v>
      </c>
      <c r="E678" s="106" t="s">
        <v>787</v>
      </c>
      <c r="F678" s="105" t="s">
        <v>872</v>
      </c>
      <c r="G678" s="7">
        <v>0</v>
      </c>
    </row>
    <row r="679" spans="2:7" hidden="1" x14ac:dyDescent="0.25">
      <c r="B679" s="273" t="s">
        <v>934</v>
      </c>
      <c r="C679" s="106" t="s">
        <v>83</v>
      </c>
      <c r="D679" s="106" t="s">
        <v>12</v>
      </c>
      <c r="E679" s="106" t="s">
        <v>786</v>
      </c>
      <c r="F679" s="105" t="s">
        <v>873</v>
      </c>
      <c r="G679" s="7">
        <v>0</v>
      </c>
    </row>
    <row r="680" spans="2:7" hidden="1" x14ac:dyDescent="0.25">
      <c r="B680" s="273" t="s">
        <v>934</v>
      </c>
      <c r="C680" s="106" t="s">
        <v>83</v>
      </c>
      <c r="D680" s="106" t="s">
        <v>12</v>
      </c>
      <c r="E680" s="106" t="s">
        <v>786</v>
      </c>
      <c r="F680" s="105" t="s">
        <v>874</v>
      </c>
      <c r="G680" s="7">
        <v>5</v>
      </c>
    </row>
    <row r="681" spans="2:7" hidden="1" x14ac:dyDescent="0.25">
      <c r="B681" s="273" t="s">
        <v>934</v>
      </c>
      <c r="C681" s="106" t="s">
        <v>83</v>
      </c>
      <c r="D681" s="106" t="s">
        <v>34</v>
      </c>
      <c r="E681" s="272" t="s">
        <v>799</v>
      </c>
      <c r="F681" s="105" t="s">
        <v>875</v>
      </c>
      <c r="G681" s="7">
        <v>10</v>
      </c>
    </row>
    <row r="682" spans="2:7" hidden="1" x14ac:dyDescent="0.25">
      <c r="B682" s="273" t="s">
        <v>934</v>
      </c>
      <c r="C682" s="106" t="s">
        <v>83</v>
      </c>
      <c r="D682" s="106" t="s">
        <v>34</v>
      </c>
      <c r="E682" s="272" t="s">
        <v>799</v>
      </c>
      <c r="F682" s="105" t="s">
        <v>876</v>
      </c>
      <c r="G682" s="7">
        <v>10</v>
      </c>
    </row>
    <row r="683" spans="2:7" hidden="1" x14ac:dyDescent="0.25">
      <c r="B683" s="273" t="s">
        <v>934</v>
      </c>
      <c r="C683" s="106" t="s">
        <v>83</v>
      </c>
      <c r="D683" s="106" t="s">
        <v>41</v>
      </c>
      <c r="E683" s="272" t="s">
        <v>799</v>
      </c>
      <c r="F683" s="105" t="s">
        <v>877</v>
      </c>
      <c r="G683" s="7">
        <v>5</v>
      </c>
    </row>
    <row r="684" spans="2:7" hidden="1" x14ac:dyDescent="0.25">
      <c r="B684" s="273" t="s">
        <v>934</v>
      </c>
      <c r="C684" s="106" t="s">
        <v>83</v>
      </c>
      <c r="D684" s="106" t="s">
        <v>46</v>
      </c>
      <c r="E684" s="272" t="s">
        <v>799</v>
      </c>
      <c r="F684" s="105" t="s">
        <v>878</v>
      </c>
      <c r="G684" s="7">
        <v>4</v>
      </c>
    </row>
    <row r="685" spans="2:7" hidden="1" x14ac:dyDescent="0.25">
      <c r="B685" s="273" t="s">
        <v>934</v>
      </c>
      <c r="C685" s="106" t="s">
        <v>114</v>
      </c>
      <c r="D685" s="106" t="s">
        <v>12</v>
      </c>
      <c r="E685" s="272" t="s">
        <v>799</v>
      </c>
      <c r="F685" s="105" t="s">
        <v>879</v>
      </c>
      <c r="G685" s="7">
        <v>10</v>
      </c>
    </row>
    <row r="686" spans="2:7" hidden="1" x14ac:dyDescent="0.25">
      <c r="B686" s="273" t="s">
        <v>934</v>
      </c>
      <c r="C686" s="106" t="s">
        <v>114</v>
      </c>
      <c r="D686" s="106" t="s">
        <v>12</v>
      </c>
      <c r="E686" s="272" t="s">
        <v>799</v>
      </c>
      <c r="F686" s="105" t="s">
        <v>880</v>
      </c>
      <c r="G686" s="7">
        <v>10</v>
      </c>
    </row>
    <row r="687" spans="2:7" hidden="1" x14ac:dyDescent="0.25">
      <c r="B687" s="273" t="s">
        <v>934</v>
      </c>
      <c r="C687" s="106" t="s">
        <v>114</v>
      </c>
      <c r="D687" s="106" t="s">
        <v>12</v>
      </c>
      <c r="E687" s="272" t="s">
        <v>799</v>
      </c>
      <c r="F687" s="105" t="s">
        <v>881</v>
      </c>
      <c r="G687" s="7">
        <v>10</v>
      </c>
    </row>
    <row r="688" spans="2:7" hidden="1" x14ac:dyDescent="0.25">
      <c r="B688" s="273" t="s">
        <v>934</v>
      </c>
      <c r="C688" s="106" t="s">
        <v>114</v>
      </c>
      <c r="D688" s="106" t="s">
        <v>12</v>
      </c>
      <c r="E688" s="272" t="s">
        <v>799</v>
      </c>
      <c r="F688" s="105" t="s">
        <v>882</v>
      </c>
      <c r="G688" s="7">
        <v>10</v>
      </c>
    </row>
    <row r="689" spans="2:7" hidden="1" x14ac:dyDescent="0.25">
      <c r="B689" s="273" t="s">
        <v>934</v>
      </c>
      <c r="C689" s="106" t="s">
        <v>114</v>
      </c>
      <c r="D689" s="106" t="s">
        <v>12</v>
      </c>
      <c r="E689" s="272" t="s">
        <v>799</v>
      </c>
      <c r="F689" s="105" t="s">
        <v>883</v>
      </c>
      <c r="G689" s="7">
        <v>10</v>
      </c>
    </row>
    <row r="690" spans="2:7" hidden="1" x14ac:dyDescent="0.25">
      <c r="B690" s="273" t="s">
        <v>934</v>
      </c>
      <c r="C690" s="106" t="s">
        <v>114</v>
      </c>
      <c r="D690" s="106" t="s">
        <v>12</v>
      </c>
      <c r="E690" s="272" t="s">
        <v>799</v>
      </c>
      <c r="F690" s="105" t="s">
        <v>884</v>
      </c>
      <c r="G690" s="7">
        <v>10</v>
      </c>
    </row>
    <row r="691" spans="2:7" hidden="1" x14ac:dyDescent="0.25">
      <c r="B691" s="273" t="s">
        <v>934</v>
      </c>
      <c r="C691" s="106" t="s">
        <v>114</v>
      </c>
      <c r="D691" s="106" t="s">
        <v>12</v>
      </c>
      <c r="E691" s="272" t="s">
        <v>799</v>
      </c>
      <c r="F691" s="105" t="s">
        <v>885</v>
      </c>
      <c r="G691" s="7">
        <v>10</v>
      </c>
    </row>
    <row r="692" spans="2:7" hidden="1" x14ac:dyDescent="0.25">
      <c r="B692" s="273" t="s">
        <v>934</v>
      </c>
      <c r="C692" s="106" t="s">
        <v>114</v>
      </c>
      <c r="D692" s="106" t="s">
        <v>12</v>
      </c>
      <c r="E692" s="106" t="s">
        <v>798</v>
      </c>
      <c r="F692" s="105" t="s">
        <v>886</v>
      </c>
      <c r="G692" s="7">
        <v>10</v>
      </c>
    </row>
    <row r="693" spans="2:7" hidden="1" x14ac:dyDescent="0.25">
      <c r="B693" s="273" t="s">
        <v>934</v>
      </c>
      <c r="C693" s="106" t="s">
        <v>114</v>
      </c>
      <c r="D693" s="106" t="s">
        <v>12</v>
      </c>
      <c r="E693" s="106" t="s">
        <v>797</v>
      </c>
      <c r="F693" s="105" t="s">
        <v>887</v>
      </c>
      <c r="G693" s="7">
        <v>10</v>
      </c>
    </row>
    <row r="694" spans="2:7" hidden="1" x14ac:dyDescent="0.25">
      <c r="B694" s="273" t="s">
        <v>934</v>
      </c>
      <c r="C694" s="106" t="s">
        <v>114</v>
      </c>
      <c r="D694" s="106" t="s">
        <v>12</v>
      </c>
      <c r="E694" s="106" t="s">
        <v>797</v>
      </c>
      <c r="F694" s="105" t="s">
        <v>888</v>
      </c>
      <c r="G694" s="7">
        <v>8</v>
      </c>
    </row>
    <row r="695" spans="2:7" hidden="1" x14ac:dyDescent="0.25">
      <c r="B695" s="273" t="s">
        <v>934</v>
      </c>
      <c r="C695" s="106" t="s">
        <v>114</v>
      </c>
      <c r="D695" s="106" t="s">
        <v>12</v>
      </c>
      <c r="E695" s="106" t="s">
        <v>788</v>
      </c>
      <c r="F695" s="105" t="s">
        <v>889</v>
      </c>
      <c r="G695" s="7">
        <v>5</v>
      </c>
    </row>
    <row r="696" spans="2:7" hidden="1" x14ac:dyDescent="0.25">
      <c r="B696" s="273" t="s">
        <v>934</v>
      </c>
      <c r="C696" s="106" t="s">
        <v>114</v>
      </c>
      <c r="D696" s="106" t="s">
        <v>12</v>
      </c>
      <c r="E696" s="106" t="s">
        <v>788</v>
      </c>
      <c r="F696" s="105" t="s">
        <v>890</v>
      </c>
      <c r="G696" s="7">
        <v>5</v>
      </c>
    </row>
    <row r="697" spans="2:7" hidden="1" x14ac:dyDescent="0.25">
      <c r="B697" s="273" t="s">
        <v>934</v>
      </c>
      <c r="C697" s="106" t="s">
        <v>114</v>
      </c>
      <c r="D697" s="106" t="s">
        <v>12</v>
      </c>
      <c r="E697" s="106" t="s">
        <v>787</v>
      </c>
      <c r="F697" s="105" t="s">
        <v>891</v>
      </c>
      <c r="G697" s="7">
        <v>5</v>
      </c>
    </row>
    <row r="698" spans="2:7" hidden="1" x14ac:dyDescent="0.25">
      <c r="B698" s="273" t="s">
        <v>934</v>
      </c>
      <c r="C698" s="106" t="s">
        <v>114</v>
      </c>
      <c r="D698" s="106" t="s">
        <v>12</v>
      </c>
      <c r="E698" s="106" t="s">
        <v>787</v>
      </c>
      <c r="F698" s="105" t="s">
        <v>892</v>
      </c>
      <c r="G698" s="7">
        <v>6</v>
      </c>
    </row>
    <row r="699" spans="2:7" hidden="1" x14ac:dyDescent="0.25">
      <c r="B699" s="273" t="s">
        <v>934</v>
      </c>
      <c r="C699" s="106" t="s">
        <v>114</v>
      </c>
      <c r="D699" s="106" t="s">
        <v>12</v>
      </c>
      <c r="E699" s="106" t="s">
        <v>786</v>
      </c>
      <c r="F699" s="105" t="s">
        <v>893</v>
      </c>
      <c r="G699" s="7">
        <v>0</v>
      </c>
    </row>
    <row r="700" spans="2:7" hidden="1" x14ac:dyDescent="0.25">
      <c r="B700" s="273" t="s">
        <v>934</v>
      </c>
      <c r="C700" s="106" t="s">
        <v>114</v>
      </c>
      <c r="D700" s="106" t="s">
        <v>12</v>
      </c>
      <c r="E700" s="106" t="s">
        <v>786</v>
      </c>
      <c r="F700" s="105" t="s">
        <v>894</v>
      </c>
      <c r="G700" s="7">
        <v>0</v>
      </c>
    </row>
    <row r="701" spans="2:7" hidden="1" x14ac:dyDescent="0.25">
      <c r="B701" s="273" t="s">
        <v>934</v>
      </c>
      <c r="C701" s="106" t="s">
        <v>114</v>
      </c>
      <c r="D701" s="106" t="s">
        <v>34</v>
      </c>
      <c r="E701" s="272" t="s">
        <v>799</v>
      </c>
      <c r="F701" s="105" t="s">
        <v>895</v>
      </c>
      <c r="G701" s="7">
        <v>10</v>
      </c>
    </row>
    <row r="702" spans="2:7" hidden="1" x14ac:dyDescent="0.25">
      <c r="B702" s="273" t="s">
        <v>934</v>
      </c>
      <c r="C702" s="106" t="s">
        <v>114</v>
      </c>
      <c r="D702" s="106" t="s">
        <v>34</v>
      </c>
      <c r="E702" s="272" t="s">
        <v>799</v>
      </c>
      <c r="F702" s="105" t="s">
        <v>896</v>
      </c>
      <c r="G702" s="7">
        <v>10</v>
      </c>
    </row>
    <row r="703" spans="2:7" hidden="1" x14ac:dyDescent="0.25">
      <c r="B703" s="273" t="s">
        <v>934</v>
      </c>
      <c r="C703" s="106" t="s">
        <v>114</v>
      </c>
      <c r="D703" s="106" t="s">
        <v>41</v>
      </c>
      <c r="E703" s="272" t="s">
        <v>799</v>
      </c>
      <c r="F703" s="105" t="s">
        <v>897</v>
      </c>
      <c r="G703" s="7">
        <v>5</v>
      </c>
    </row>
    <row r="704" spans="2:7" hidden="1" x14ac:dyDescent="0.25">
      <c r="B704" s="273" t="s">
        <v>934</v>
      </c>
      <c r="C704" s="106" t="s">
        <v>114</v>
      </c>
      <c r="D704" s="106" t="s">
        <v>41</v>
      </c>
      <c r="E704" s="272" t="s">
        <v>799</v>
      </c>
      <c r="F704" s="105" t="s">
        <v>898</v>
      </c>
      <c r="G704" s="7">
        <v>5</v>
      </c>
    </row>
    <row r="705" spans="2:7" hidden="1" x14ac:dyDescent="0.25">
      <c r="B705" s="273" t="s">
        <v>934</v>
      </c>
      <c r="C705" s="106" t="s">
        <v>114</v>
      </c>
      <c r="D705" s="106" t="s">
        <v>46</v>
      </c>
      <c r="E705" s="272" t="s">
        <v>799</v>
      </c>
      <c r="F705" s="105" t="s">
        <v>899</v>
      </c>
      <c r="G705" s="7">
        <v>4</v>
      </c>
    </row>
    <row r="706" spans="2:7" hidden="1" x14ac:dyDescent="0.25">
      <c r="B706" s="273" t="s">
        <v>959</v>
      </c>
      <c r="C706" s="6" t="s">
        <v>11</v>
      </c>
      <c r="D706" s="6" t="s">
        <v>12</v>
      </c>
      <c r="E706" s="203" t="s">
        <v>799</v>
      </c>
      <c r="F706" s="7" t="s">
        <v>13</v>
      </c>
      <c r="G706" s="7">
        <v>10</v>
      </c>
    </row>
    <row r="707" spans="2:7" hidden="1" x14ac:dyDescent="0.25">
      <c r="B707" s="273" t="s">
        <v>959</v>
      </c>
      <c r="C707" s="106" t="s">
        <v>11</v>
      </c>
      <c r="D707" s="106" t="s">
        <v>12</v>
      </c>
      <c r="E707" s="272" t="s">
        <v>799</v>
      </c>
      <c r="F707" s="105" t="s">
        <v>17</v>
      </c>
      <c r="G707" s="7">
        <v>10</v>
      </c>
    </row>
    <row r="708" spans="2:7" hidden="1" x14ac:dyDescent="0.25">
      <c r="B708" s="273" t="s">
        <v>959</v>
      </c>
      <c r="C708" s="106" t="s">
        <v>11</v>
      </c>
      <c r="D708" s="106" t="s">
        <v>12</v>
      </c>
      <c r="E708" s="272" t="s">
        <v>799</v>
      </c>
      <c r="F708" s="105" t="s">
        <v>210</v>
      </c>
      <c r="G708" s="7">
        <v>8</v>
      </c>
    </row>
    <row r="709" spans="2:7" hidden="1" x14ac:dyDescent="0.25">
      <c r="B709" s="273" t="s">
        <v>959</v>
      </c>
      <c r="C709" s="106" t="s">
        <v>11</v>
      </c>
      <c r="D709" s="106" t="s">
        <v>12</v>
      </c>
      <c r="E709" s="272" t="s">
        <v>799</v>
      </c>
      <c r="F709" s="105" t="s">
        <v>24</v>
      </c>
      <c r="G709" s="7">
        <v>10</v>
      </c>
    </row>
    <row r="710" spans="2:7" hidden="1" x14ac:dyDescent="0.25">
      <c r="B710" s="273" t="s">
        <v>959</v>
      </c>
      <c r="C710" s="106" t="s">
        <v>11</v>
      </c>
      <c r="D710" s="106" t="s">
        <v>12</v>
      </c>
      <c r="E710" s="272" t="s">
        <v>799</v>
      </c>
      <c r="F710" s="105" t="s">
        <v>27</v>
      </c>
      <c r="G710" s="7">
        <v>10</v>
      </c>
    </row>
    <row r="711" spans="2:7" hidden="1" x14ac:dyDescent="0.25">
      <c r="B711" s="273" t="s">
        <v>959</v>
      </c>
      <c r="C711" s="106" t="s">
        <v>11</v>
      </c>
      <c r="D711" s="106" t="s">
        <v>12</v>
      </c>
      <c r="E711" s="272" t="s">
        <v>799</v>
      </c>
      <c r="F711" s="105" t="s">
        <v>211</v>
      </c>
      <c r="G711" s="7">
        <v>10</v>
      </c>
    </row>
    <row r="712" spans="2:7" hidden="1" x14ac:dyDescent="0.25">
      <c r="B712" s="273" t="s">
        <v>959</v>
      </c>
      <c r="C712" s="106" t="s">
        <v>11</v>
      </c>
      <c r="D712" s="106" t="s">
        <v>12</v>
      </c>
      <c r="E712" s="272" t="s">
        <v>799</v>
      </c>
      <c r="F712" s="105" t="s">
        <v>187</v>
      </c>
      <c r="G712" s="7">
        <v>10</v>
      </c>
    </row>
    <row r="713" spans="2:7" hidden="1" x14ac:dyDescent="0.25">
      <c r="B713" s="273" t="s">
        <v>959</v>
      </c>
      <c r="C713" s="106" t="s">
        <v>11</v>
      </c>
      <c r="D713" s="106" t="s">
        <v>12</v>
      </c>
      <c r="E713" s="106" t="s">
        <v>798</v>
      </c>
      <c r="F713" s="105" t="s">
        <v>33</v>
      </c>
      <c r="G713" s="7">
        <v>10</v>
      </c>
    </row>
    <row r="714" spans="2:7" hidden="1" x14ac:dyDescent="0.25">
      <c r="B714" s="273" t="s">
        <v>959</v>
      </c>
      <c r="C714" s="106" t="s">
        <v>11</v>
      </c>
      <c r="D714" s="106" t="s">
        <v>12</v>
      </c>
      <c r="E714" s="106" t="s">
        <v>797</v>
      </c>
      <c r="F714" s="105" t="s">
        <v>179</v>
      </c>
      <c r="G714" s="7">
        <v>0</v>
      </c>
    </row>
    <row r="715" spans="2:7" hidden="1" x14ac:dyDescent="0.25">
      <c r="B715" s="273" t="s">
        <v>959</v>
      </c>
      <c r="C715" s="106" t="s">
        <v>11</v>
      </c>
      <c r="D715" s="106" t="s">
        <v>12</v>
      </c>
      <c r="E715" s="106" t="s">
        <v>797</v>
      </c>
      <c r="F715" s="105" t="s">
        <v>180</v>
      </c>
      <c r="G715" s="7">
        <v>9</v>
      </c>
    </row>
    <row r="716" spans="2:7" hidden="1" x14ac:dyDescent="0.25">
      <c r="B716" s="273" t="s">
        <v>959</v>
      </c>
      <c r="C716" s="106" t="s">
        <v>11</v>
      </c>
      <c r="D716" s="106" t="s">
        <v>12</v>
      </c>
      <c r="E716" s="106" t="s">
        <v>788</v>
      </c>
      <c r="F716" s="105" t="s">
        <v>215</v>
      </c>
      <c r="G716" s="7">
        <v>6</v>
      </c>
    </row>
    <row r="717" spans="2:7" hidden="1" x14ac:dyDescent="0.25">
      <c r="B717" s="273" t="s">
        <v>959</v>
      </c>
      <c r="C717" s="106" t="s">
        <v>11</v>
      </c>
      <c r="D717" s="106" t="s">
        <v>12</v>
      </c>
      <c r="E717" s="106" t="s">
        <v>788</v>
      </c>
      <c r="F717" s="105" t="s">
        <v>216</v>
      </c>
      <c r="G717" s="7">
        <v>5</v>
      </c>
    </row>
    <row r="718" spans="2:7" hidden="1" x14ac:dyDescent="0.25">
      <c r="B718" s="273" t="s">
        <v>959</v>
      </c>
      <c r="C718" s="106" t="s">
        <v>11</v>
      </c>
      <c r="D718" s="106" t="s">
        <v>12</v>
      </c>
      <c r="E718" s="106" t="s">
        <v>787</v>
      </c>
      <c r="F718" s="105" t="s">
        <v>770</v>
      </c>
      <c r="G718" s="7">
        <v>5</v>
      </c>
    </row>
    <row r="719" spans="2:7" hidden="1" x14ac:dyDescent="0.25">
      <c r="B719" s="273" t="s">
        <v>959</v>
      </c>
      <c r="C719" s="106" t="s">
        <v>11</v>
      </c>
      <c r="D719" s="106" t="s">
        <v>12</v>
      </c>
      <c r="E719" s="106" t="s">
        <v>787</v>
      </c>
      <c r="F719" s="105" t="s">
        <v>223</v>
      </c>
      <c r="G719" s="7">
        <v>5</v>
      </c>
    </row>
    <row r="720" spans="2:7" hidden="1" x14ac:dyDescent="0.25">
      <c r="B720" s="273" t="s">
        <v>959</v>
      </c>
      <c r="C720" s="106" t="s">
        <v>11</v>
      </c>
      <c r="D720" s="106" t="s">
        <v>12</v>
      </c>
      <c r="E720" s="106" t="s">
        <v>786</v>
      </c>
      <c r="F720" s="105" t="s">
        <v>777</v>
      </c>
      <c r="G720" s="7">
        <v>0</v>
      </c>
    </row>
    <row r="721" spans="2:7" hidden="1" x14ac:dyDescent="0.25">
      <c r="B721" s="273" t="s">
        <v>959</v>
      </c>
      <c r="C721" s="106" t="s">
        <v>11</v>
      </c>
      <c r="D721" s="106" t="s">
        <v>12</v>
      </c>
      <c r="E721" s="106" t="s">
        <v>786</v>
      </c>
      <c r="F721" s="105" t="s">
        <v>778</v>
      </c>
      <c r="G721" s="7">
        <v>0</v>
      </c>
    </row>
    <row r="722" spans="2:7" hidden="1" x14ac:dyDescent="0.25">
      <c r="B722" s="273" t="s">
        <v>959</v>
      </c>
      <c r="C722" s="106" t="s">
        <v>11</v>
      </c>
      <c r="D722" s="106" t="s">
        <v>34</v>
      </c>
      <c r="E722" s="272" t="s">
        <v>799</v>
      </c>
      <c r="F722" s="105" t="s">
        <v>35</v>
      </c>
      <c r="G722" s="7">
        <v>10</v>
      </c>
    </row>
    <row r="723" spans="2:7" hidden="1" x14ac:dyDescent="0.25">
      <c r="B723" s="273" t="s">
        <v>959</v>
      </c>
      <c r="C723" s="106" t="s">
        <v>11</v>
      </c>
      <c r="D723" s="106" t="s">
        <v>34</v>
      </c>
      <c r="E723" s="272" t="s">
        <v>799</v>
      </c>
      <c r="F723" s="105" t="s">
        <v>38</v>
      </c>
      <c r="G723" s="7">
        <v>10</v>
      </c>
    </row>
    <row r="724" spans="2:7" hidden="1" x14ac:dyDescent="0.25">
      <c r="B724" s="273" t="s">
        <v>959</v>
      </c>
      <c r="C724" s="106" t="s">
        <v>11</v>
      </c>
      <c r="D724" s="106" t="s">
        <v>41</v>
      </c>
      <c r="E724" s="272" t="s">
        <v>799</v>
      </c>
      <c r="F724" s="105" t="s">
        <v>42</v>
      </c>
      <c r="G724" s="7">
        <v>5</v>
      </c>
    </row>
    <row r="725" spans="2:7" hidden="1" x14ac:dyDescent="0.25">
      <c r="B725" s="273" t="s">
        <v>959</v>
      </c>
      <c r="C725" s="106" t="s">
        <v>11</v>
      </c>
      <c r="D725" s="106" t="s">
        <v>41</v>
      </c>
      <c r="E725" s="272" t="s">
        <v>799</v>
      </c>
      <c r="F725" s="105" t="s">
        <v>44</v>
      </c>
      <c r="G725" s="7">
        <v>5</v>
      </c>
    </row>
    <row r="726" spans="2:7" hidden="1" x14ac:dyDescent="0.25">
      <c r="B726" s="273" t="s">
        <v>959</v>
      </c>
      <c r="C726" s="106" t="s">
        <v>11</v>
      </c>
      <c r="D726" s="106" t="s">
        <v>41</v>
      </c>
      <c r="E726" s="272" t="s">
        <v>799</v>
      </c>
      <c r="F726" s="105" t="s">
        <v>45</v>
      </c>
      <c r="G726" s="7">
        <v>5</v>
      </c>
    </row>
    <row r="727" spans="2:7" hidden="1" x14ac:dyDescent="0.25">
      <c r="B727" s="273" t="s">
        <v>959</v>
      </c>
      <c r="C727" s="106" t="s">
        <v>11</v>
      </c>
      <c r="D727" s="106" t="s">
        <v>46</v>
      </c>
      <c r="E727" s="272" t="s">
        <v>799</v>
      </c>
      <c r="F727" s="105" t="s">
        <v>47</v>
      </c>
      <c r="G727" s="7">
        <v>4</v>
      </c>
    </row>
    <row r="728" spans="2:7" hidden="1" x14ac:dyDescent="0.25">
      <c r="B728" s="273" t="s">
        <v>959</v>
      </c>
      <c r="C728" s="106" t="s">
        <v>48</v>
      </c>
      <c r="D728" s="106" t="s">
        <v>12</v>
      </c>
      <c r="E728" s="272" t="s">
        <v>799</v>
      </c>
      <c r="F728" s="105" t="s">
        <v>49</v>
      </c>
      <c r="G728" s="7">
        <v>10</v>
      </c>
    </row>
    <row r="729" spans="2:7" hidden="1" x14ac:dyDescent="0.25">
      <c r="B729" s="273" t="s">
        <v>959</v>
      </c>
      <c r="C729" s="106" t="s">
        <v>48</v>
      </c>
      <c r="D729" s="106" t="s">
        <v>12</v>
      </c>
      <c r="E729" s="272" t="s">
        <v>799</v>
      </c>
      <c r="F729" s="105" t="s">
        <v>52</v>
      </c>
      <c r="G729" s="7">
        <v>10</v>
      </c>
    </row>
    <row r="730" spans="2:7" hidden="1" x14ac:dyDescent="0.25">
      <c r="B730" s="273" t="s">
        <v>959</v>
      </c>
      <c r="C730" s="106" t="s">
        <v>48</v>
      </c>
      <c r="D730" s="106" t="s">
        <v>12</v>
      </c>
      <c r="E730" s="272" t="s">
        <v>799</v>
      </c>
      <c r="F730" s="105" t="s">
        <v>55</v>
      </c>
      <c r="G730" s="7">
        <v>10</v>
      </c>
    </row>
    <row r="731" spans="2:7" hidden="1" x14ac:dyDescent="0.25">
      <c r="B731" s="273" t="s">
        <v>959</v>
      </c>
      <c r="C731" s="106" t="s">
        <v>48</v>
      </c>
      <c r="D731" s="106" t="s">
        <v>12</v>
      </c>
      <c r="E731" s="272" t="s">
        <v>799</v>
      </c>
      <c r="F731" s="105" t="s">
        <v>58</v>
      </c>
      <c r="G731" s="7">
        <v>9</v>
      </c>
    </row>
    <row r="732" spans="2:7" hidden="1" x14ac:dyDescent="0.25">
      <c r="B732" s="273" t="s">
        <v>959</v>
      </c>
      <c r="C732" s="106" t="s">
        <v>48</v>
      </c>
      <c r="D732" s="106" t="s">
        <v>12</v>
      </c>
      <c r="E732" s="272" t="s">
        <v>799</v>
      </c>
      <c r="F732" s="105" t="s">
        <v>61</v>
      </c>
      <c r="G732" s="7">
        <v>9</v>
      </c>
    </row>
    <row r="733" spans="2:7" hidden="1" x14ac:dyDescent="0.25">
      <c r="B733" s="273" t="s">
        <v>959</v>
      </c>
      <c r="C733" s="106" t="s">
        <v>48</v>
      </c>
      <c r="D733" s="106" t="s">
        <v>12</v>
      </c>
      <c r="E733" s="272" t="s">
        <v>799</v>
      </c>
      <c r="F733" s="105" t="s">
        <v>64</v>
      </c>
      <c r="G733" s="7">
        <v>9</v>
      </c>
    </row>
    <row r="734" spans="2:7" hidden="1" x14ac:dyDescent="0.25">
      <c r="B734" s="273" t="s">
        <v>959</v>
      </c>
      <c r="C734" s="106" t="s">
        <v>48</v>
      </c>
      <c r="D734" s="106" t="s">
        <v>12</v>
      </c>
      <c r="E734" s="272" t="s">
        <v>799</v>
      </c>
      <c r="F734" s="105" t="s">
        <v>67</v>
      </c>
      <c r="G734" s="7">
        <v>8</v>
      </c>
    </row>
    <row r="735" spans="2:7" hidden="1" x14ac:dyDescent="0.25">
      <c r="B735" s="273" t="s">
        <v>959</v>
      </c>
      <c r="C735" s="106" t="s">
        <v>48</v>
      </c>
      <c r="D735" s="106" t="s">
        <v>12</v>
      </c>
      <c r="E735" s="272" t="s">
        <v>799</v>
      </c>
      <c r="F735" s="105" t="s">
        <v>213</v>
      </c>
      <c r="G735" s="7">
        <v>10</v>
      </c>
    </row>
    <row r="736" spans="2:7" hidden="1" x14ac:dyDescent="0.25">
      <c r="B736" s="273" t="s">
        <v>959</v>
      </c>
      <c r="C736" s="106" t="s">
        <v>48</v>
      </c>
      <c r="D736" s="106" t="s">
        <v>12</v>
      </c>
      <c r="E736" s="106" t="s">
        <v>798</v>
      </c>
      <c r="F736" s="105" t="s">
        <v>72</v>
      </c>
      <c r="G736" s="7">
        <v>10</v>
      </c>
    </row>
    <row r="737" spans="2:7" hidden="1" x14ac:dyDescent="0.25">
      <c r="B737" s="273" t="s">
        <v>959</v>
      </c>
      <c r="C737" s="106" t="s">
        <v>48</v>
      </c>
      <c r="D737" s="106" t="s">
        <v>12</v>
      </c>
      <c r="E737" s="106" t="s">
        <v>798</v>
      </c>
      <c r="F737" s="105" t="s">
        <v>73</v>
      </c>
      <c r="G737" s="7">
        <v>9</v>
      </c>
    </row>
    <row r="738" spans="2:7" hidden="1" x14ac:dyDescent="0.25">
      <c r="B738" s="273" t="s">
        <v>959</v>
      </c>
      <c r="C738" s="106" t="s">
        <v>48</v>
      </c>
      <c r="D738" s="106" t="s">
        <v>12</v>
      </c>
      <c r="E738" s="106" t="s">
        <v>797</v>
      </c>
      <c r="F738" s="105" t="s">
        <v>181</v>
      </c>
      <c r="G738" s="7">
        <v>9</v>
      </c>
    </row>
    <row r="739" spans="2:7" hidden="1" x14ac:dyDescent="0.25">
      <c r="B739" s="273" t="s">
        <v>959</v>
      </c>
      <c r="C739" s="106" t="s">
        <v>48</v>
      </c>
      <c r="D739" s="106" t="s">
        <v>12</v>
      </c>
      <c r="E739" s="106" t="s">
        <v>797</v>
      </c>
      <c r="F739" s="105" t="s">
        <v>182</v>
      </c>
      <c r="G739" s="7">
        <v>9</v>
      </c>
    </row>
    <row r="740" spans="2:7" hidden="1" x14ac:dyDescent="0.25">
      <c r="B740" s="273" t="s">
        <v>959</v>
      </c>
      <c r="C740" s="106" t="s">
        <v>48</v>
      </c>
      <c r="D740" s="106" t="s">
        <v>12</v>
      </c>
      <c r="E740" s="106" t="s">
        <v>788</v>
      </c>
      <c r="F740" s="105" t="s">
        <v>217</v>
      </c>
      <c r="G740" s="7">
        <v>0</v>
      </c>
    </row>
    <row r="741" spans="2:7" hidden="1" x14ac:dyDescent="0.25">
      <c r="B741" s="273" t="s">
        <v>959</v>
      </c>
      <c r="C741" s="106" t="s">
        <v>48</v>
      </c>
      <c r="D741" s="106" t="s">
        <v>12</v>
      </c>
      <c r="E741" s="106" t="s">
        <v>788</v>
      </c>
      <c r="F741" s="105" t="s">
        <v>218</v>
      </c>
      <c r="G741" s="7">
        <v>5</v>
      </c>
    </row>
    <row r="742" spans="2:7" hidden="1" x14ac:dyDescent="0.25">
      <c r="B742" s="273" t="s">
        <v>959</v>
      </c>
      <c r="C742" s="106" t="s">
        <v>48</v>
      </c>
      <c r="D742" s="106" t="s">
        <v>12</v>
      </c>
      <c r="E742" s="106" t="s">
        <v>787</v>
      </c>
      <c r="F742" s="105" t="s">
        <v>771</v>
      </c>
      <c r="G742" s="7">
        <v>0</v>
      </c>
    </row>
    <row r="743" spans="2:7" hidden="1" x14ac:dyDescent="0.25">
      <c r="B743" s="273" t="s">
        <v>959</v>
      </c>
      <c r="C743" s="106" t="s">
        <v>48</v>
      </c>
      <c r="D743" s="106" t="s">
        <v>12</v>
      </c>
      <c r="E743" s="106" t="s">
        <v>787</v>
      </c>
      <c r="F743" s="105" t="s">
        <v>772</v>
      </c>
      <c r="G743" s="7">
        <v>5</v>
      </c>
    </row>
    <row r="744" spans="2:7" hidden="1" x14ac:dyDescent="0.25">
      <c r="B744" s="273" t="s">
        <v>959</v>
      </c>
      <c r="C744" s="106" t="s">
        <v>48</v>
      </c>
      <c r="D744" s="106" t="s">
        <v>12</v>
      </c>
      <c r="E744" s="106" t="s">
        <v>786</v>
      </c>
      <c r="F744" s="105" t="s">
        <v>779</v>
      </c>
      <c r="G744" s="7">
        <v>0</v>
      </c>
    </row>
    <row r="745" spans="2:7" hidden="1" x14ac:dyDescent="0.25">
      <c r="B745" s="273" t="s">
        <v>959</v>
      </c>
      <c r="C745" s="106" t="s">
        <v>48</v>
      </c>
      <c r="D745" s="106" t="s">
        <v>12</v>
      </c>
      <c r="E745" s="106" t="s">
        <v>786</v>
      </c>
      <c r="F745" s="105" t="s">
        <v>780</v>
      </c>
      <c r="G745" s="7">
        <v>0</v>
      </c>
    </row>
    <row r="746" spans="2:7" hidden="1" x14ac:dyDescent="0.25">
      <c r="B746" s="273" t="s">
        <v>959</v>
      </c>
      <c r="C746" s="106" t="s">
        <v>48</v>
      </c>
      <c r="D746" s="106" t="s">
        <v>34</v>
      </c>
      <c r="E746" s="272" t="s">
        <v>799</v>
      </c>
      <c r="F746" s="105" t="s">
        <v>74</v>
      </c>
      <c r="G746" s="7">
        <v>10</v>
      </c>
    </row>
    <row r="747" spans="2:7" hidden="1" x14ac:dyDescent="0.25">
      <c r="B747" s="273" t="s">
        <v>959</v>
      </c>
      <c r="C747" s="106" t="s">
        <v>48</v>
      </c>
      <c r="D747" s="106" t="s">
        <v>34</v>
      </c>
      <c r="E747" s="272" t="s">
        <v>799</v>
      </c>
      <c r="F747" s="105" t="s">
        <v>77</v>
      </c>
      <c r="G747" s="7">
        <v>10</v>
      </c>
    </row>
    <row r="748" spans="2:7" hidden="1" x14ac:dyDescent="0.25">
      <c r="B748" s="273" t="s">
        <v>959</v>
      </c>
      <c r="C748" s="106" t="s">
        <v>48</v>
      </c>
      <c r="D748" s="106" t="s">
        <v>41</v>
      </c>
      <c r="E748" s="272" t="s">
        <v>799</v>
      </c>
      <c r="F748" s="105" t="s">
        <v>80</v>
      </c>
      <c r="G748" s="7">
        <v>5</v>
      </c>
    </row>
    <row r="749" spans="2:7" hidden="1" x14ac:dyDescent="0.25">
      <c r="B749" s="273" t="s">
        <v>959</v>
      </c>
      <c r="C749" s="106" t="s">
        <v>48</v>
      </c>
      <c r="D749" s="106" t="s">
        <v>41</v>
      </c>
      <c r="E749" s="272" t="s">
        <v>799</v>
      </c>
      <c r="F749" s="105" t="s">
        <v>81</v>
      </c>
      <c r="G749" s="7">
        <v>5</v>
      </c>
    </row>
    <row r="750" spans="2:7" hidden="1" x14ac:dyDescent="0.25">
      <c r="B750" s="273" t="s">
        <v>959</v>
      </c>
      <c r="C750" s="106" t="s">
        <v>48</v>
      </c>
      <c r="D750" s="106" t="s">
        <v>46</v>
      </c>
      <c r="E750" s="272" t="s">
        <v>799</v>
      </c>
      <c r="F750" s="105" t="s">
        <v>82</v>
      </c>
      <c r="G750" s="7">
        <v>4</v>
      </c>
    </row>
    <row r="751" spans="2:7" hidden="1" x14ac:dyDescent="0.25">
      <c r="B751" s="273" t="s">
        <v>959</v>
      </c>
      <c r="C751" s="106" t="s">
        <v>83</v>
      </c>
      <c r="D751" s="106" t="s">
        <v>12</v>
      </c>
      <c r="E751" s="272" t="s">
        <v>799</v>
      </c>
      <c r="F751" s="105" t="s">
        <v>84</v>
      </c>
      <c r="G751" s="7">
        <v>10</v>
      </c>
    </row>
    <row r="752" spans="2:7" hidden="1" x14ac:dyDescent="0.25">
      <c r="B752" s="273" t="s">
        <v>959</v>
      </c>
      <c r="C752" s="106" t="s">
        <v>83</v>
      </c>
      <c r="D752" s="106" t="s">
        <v>12</v>
      </c>
      <c r="E752" s="272" t="s">
        <v>799</v>
      </c>
      <c r="F752" s="105" t="s">
        <v>86</v>
      </c>
      <c r="G752" s="7">
        <v>10</v>
      </c>
    </row>
    <row r="753" spans="2:7" hidden="1" x14ac:dyDescent="0.25">
      <c r="B753" s="273" t="s">
        <v>959</v>
      </c>
      <c r="C753" s="106" t="s">
        <v>83</v>
      </c>
      <c r="D753" s="106" t="s">
        <v>12</v>
      </c>
      <c r="E753" s="272" t="s">
        <v>799</v>
      </c>
      <c r="F753" s="105" t="s">
        <v>89</v>
      </c>
      <c r="G753" s="7">
        <v>10</v>
      </c>
    </row>
    <row r="754" spans="2:7" hidden="1" x14ac:dyDescent="0.25">
      <c r="B754" s="273" t="s">
        <v>959</v>
      </c>
      <c r="C754" s="106" t="s">
        <v>83</v>
      </c>
      <c r="D754" s="106" t="s">
        <v>12</v>
      </c>
      <c r="E754" s="272" t="s">
        <v>799</v>
      </c>
      <c r="F754" s="105" t="s">
        <v>214</v>
      </c>
      <c r="G754" s="7">
        <v>7</v>
      </c>
    </row>
    <row r="755" spans="2:7" hidden="1" x14ac:dyDescent="0.25">
      <c r="B755" s="273" t="s">
        <v>959</v>
      </c>
      <c r="C755" s="106" t="s">
        <v>83</v>
      </c>
      <c r="D755" s="106" t="s">
        <v>12</v>
      </c>
      <c r="E755" s="272" t="s">
        <v>799</v>
      </c>
      <c r="F755" s="105" t="s">
        <v>94</v>
      </c>
      <c r="G755" s="7">
        <v>10</v>
      </c>
    </row>
    <row r="756" spans="2:7" hidden="1" x14ac:dyDescent="0.25">
      <c r="B756" s="273" t="s">
        <v>959</v>
      </c>
      <c r="C756" s="106" t="s">
        <v>83</v>
      </c>
      <c r="D756" s="106" t="s">
        <v>12</v>
      </c>
      <c r="E756" s="272" t="s">
        <v>799</v>
      </c>
      <c r="F756" s="105" t="s">
        <v>97</v>
      </c>
      <c r="G756" s="7">
        <v>10</v>
      </c>
    </row>
    <row r="757" spans="2:7" hidden="1" x14ac:dyDescent="0.25">
      <c r="B757" s="273" t="s">
        <v>959</v>
      </c>
      <c r="C757" s="106" t="s">
        <v>83</v>
      </c>
      <c r="D757" s="106" t="s">
        <v>12</v>
      </c>
      <c r="E757" s="272" t="s">
        <v>799</v>
      </c>
      <c r="F757" s="105" t="s">
        <v>100</v>
      </c>
      <c r="G757" s="7">
        <v>10</v>
      </c>
    </row>
    <row r="758" spans="2:7" hidden="1" x14ac:dyDescent="0.25">
      <c r="B758" s="273" t="s">
        <v>959</v>
      </c>
      <c r="C758" s="106" t="s">
        <v>83</v>
      </c>
      <c r="D758" s="106" t="s">
        <v>12</v>
      </c>
      <c r="E758" s="272" t="s">
        <v>799</v>
      </c>
      <c r="F758" s="105" t="s">
        <v>212</v>
      </c>
      <c r="G758" s="7">
        <v>9</v>
      </c>
    </row>
    <row r="759" spans="2:7" hidden="1" x14ac:dyDescent="0.25">
      <c r="B759" s="273" t="s">
        <v>959</v>
      </c>
      <c r="C759" s="106" t="s">
        <v>83</v>
      </c>
      <c r="D759" s="106" t="s">
        <v>12</v>
      </c>
      <c r="E759" s="106" t="s">
        <v>798</v>
      </c>
      <c r="F759" s="105" t="s">
        <v>104</v>
      </c>
      <c r="G759" s="7">
        <v>10</v>
      </c>
    </row>
    <row r="760" spans="2:7" hidden="1" x14ac:dyDescent="0.25">
      <c r="B760" s="273" t="s">
        <v>959</v>
      </c>
      <c r="C760" s="106" t="s">
        <v>83</v>
      </c>
      <c r="D760" s="106" t="s">
        <v>12</v>
      </c>
      <c r="E760" s="106" t="s">
        <v>798</v>
      </c>
      <c r="F760" s="105" t="s">
        <v>107</v>
      </c>
      <c r="G760" s="7">
        <v>9</v>
      </c>
    </row>
    <row r="761" spans="2:7" hidden="1" x14ac:dyDescent="0.25">
      <c r="B761" s="273" t="s">
        <v>959</v>
      </c>
      <c r="C761" s="106" t="s">
        <v>83</v>
      </c>
      <c r="D761" s="106" t="s">
        <v>12</v>
      </c>
      <c r="E761" s="106" t="s">
        <v>797</v>
      </c>
      <c r="F761" s="105" t="s">
        <v>183</v>
      </c>
      <c r="G761" s="7">
        <v>9</v>
      </c>
    </row>
    <row r="762" spans="2:7" hidden="1" x14ac:dyDescent="0.25">
      <c r="B762" s="273" t="s">
        <v>959</v>
      </c>
      <c r="C762" s="106" t="s">
        <v>83</v>
      </c>
      <c r="D762" s="106" t="s">
        <v>12</v>
      </c>
      <c r="E762" s="106" t="s">
        <v>797</v>
      </c>
      <c r="F762" s="105" t="s">
        <v>184</v>
      </c>
      <c r="G762" s="7">
        <v>10</v>
      </c>
    </row>
    <row r="763" spans="2:7" hidden="1" x14ac:dyDescent="0.25">
      <c r="B763" s="273" t="s">
        <v>959</v>
      </c>
      <c r="C763" s="106" t="s">
        <v>83</v>
      </c>
      <c r="D763" s="106" t="s">
        <v>12</v>
      </c>
      <c r="E763" s="106" t="s">
        <v>788</v>
      </c>
      <c r="F763" s="105" t="s">
        <v>219</v>
      </c>
      <c r="G763" s="7">
        <v>7</v>
      </c>
    </row>
    <row r="764" spans="2:7" hidden="1" x14ac:dyDescent="0.25">
      <c r="B764" s="273" t="s">
        <v>959</v>
      </c>
      <c r="C764" s="106" t="s">
        <v>83</v>
      </c>
      <c r="D764" s="106" t="s">
        <v>12</v>
      </c>
      <c r="E764" s="106" t="s">
        <v>788</v>
      </c>
      <c r="F764" s="105" t="s">
        <v>220</v>
      </c>
      <c r="G764" s="7">
        <v>6</v>
      </c>
    </row>
    <row r="765" spans="2:7" hidden="1" x14ac:dyDescent="0.25">
      <c r="B765" s="273" t="s">
        <v>959</v>
      </c>
      <c r="C765" s="106" t="s">
        <v>83</v>
      </c>
      <c r="D765" s="106" t="s">
        <v>12</v>
      </c>
      <c r="E765" s="106" t="s">
        <v>787</v>
      </c>
      <c r="F765" s="105" t="s">
        <v>773</v>
      </c>
      <c r="G765" s="7">
        <v>5</v>
      </c>
    </row>
    <row r="766" spans="2:7" hidden="1" x14ac:dyDescent="0.25">
      <c r="B766" s="273" t="s">
        <v>959</v>
      </c>
      <c r="C766" s="106" t="s">
        <v>83</v>
      </c>
      <c r="D766" s="106" t="s">
        <v>12</v>
      </c>
      <c r="E766" s="106" t="s">
        <v>787</v>
      </c>
      <c r="F766" s="105" t="s">
        <v>774</v>
      </c>
      <c r="G766" s="7">
        <v>0</v>
      </c>
    </row>
    <row r="767" spans="2:7" hidden="1" x14ac:dyDescent="0.25">
      <c r="B767" s="273" t="s">
        <v>959</v>
      </c>
      <c r="C767" s="106" t="s">
        <v>83</v>
      </c>
      <c r="D767" s="106" t="s">
        <v>12</v>
      </c>
      <c r="E767" s="106" t="s">
        <v>786</v>
      </c>
      <c r="F767" s="105" t="s">
        <v>781</v>
      </c>
      <c r="G767" s="7">
        <v>0</v>
      </c>
    </row>
    <row r="768" spans="2:7" hidden="1" x14ac:dyDescent="0.25">
      <c r="B768" s="273" t="s">
        <v>959</v>
      </c>
      <c r="C768" s="106" t="s">
        <v>83</v>
      </c>
      <c r="D768" s="106" t="s">
        <v>12</v>
      </c>
      <c r="E768" s="106" t="s">
        <v>786</v>
      </c>
      <c r="F768" s="105" t="s">
        <v>782</v>
      </c>
      <c r="G768" s="7">
        <v>6</v>
      </c>
    </row>
    <row r="769" spans="2:7" hidden="1" x14ac:dyDescent="0.25">
      <c r="B769" s="273" t="s">
        <v>959</v>
      </c>
      <c r="C769" s="106" t="s">
        <v>83</v>
      </c>
      <c r="D769" s="106" t="s">
        <v>34</v>
      </c>
      <c r="E769" s="272" t="s">
        <v>799</v>
      </c>
      <c r="F769" s="105" t="s">
        <v>108</v>
      </c>
      <c r="G769" s="7">
        <v>10</v>
      </c>
    </row>
    <row r="770" spans="2:7" hidden="1" x14ac:dyDescent="0.25">
      <c r="B770" s="273" t="s">
        <v>959</v>
      </c>
      <c r="C770" s="106" t="s">
        <v>83</v>
      </c>
      <c r="D770" s="106" t="s">
        <v>34</v>
      </c>
      <c r="E770" s="272" t="s">
        <v>799</v>
      </c>
      <c r="F770" s="105" t="s">
        <v>110</v>
      </c>
      <c r="G770" s="7">
        <v>10</v>
      </c>
    </row>
    <row r="771" spans="2:7" hidden="1" x14ac:dyDescent="0.25">
      <c r="B771" s="273" t="s">
        <v>959</v>
      </c>
      <c r="C771" s="106" t="s">
        <v>83</v>
      </c>
      <c r="D771" s="106" t="s">
        <v>41</v>
      </c>
      <c r="E771" s="272" t="s">
        <v>799</v>
      </c>
      <c r="F771" s="105" t="s">
        <v>112</v>
      </c>
      <c r="G771" s="7">
        <v>5</v>
      </c>
    </row>
    <row r="772" spans="2:7" hidden="1" x14ac:dyDescent="0.25">
      <c r="B772" s="273" t="s">
        <v>959</v>
      </c>
      <c r="C772" s="106" t="s">
        <v>83</v>
      </c>
      <c r="D772" s="106" t="s">
        <v>46</v>
      </c>
      <c r="E772" s="272" t="s">
        <v>799</v>
      </c>
      <c r="F772" s="105" t="s">
        <v>113</v>
      </c>
      <c r="G772" s="7">
        <v>4</v>
      </c>
    </row>
    <row r="773" spans="2:7" hidden="1" x14ac:dyDescent="0.25">
      <c r="B773" s="273" t="s">
        <v>959</v>
      </c>
      <c r="C773" s="106" t="s">
        <v>114</v>
      </c>
      <c r="D773" s="106" t="s">
        <v>12</v>
      </c>
      <c r="E773" s="272" t="s">
        <v>799</v>
      </c>
      <c r="F773" s="105" t="s">
        <v>115</v>
      </c>
      <c r="G773" s="7">
        <v>10</v>
      </c>
    </row>
    <row r="774" spans="2:7" hidden="1" x14ac:dyDescent="0.25">
      <c r="B774" s="273" t="s">
        <v>959</v>
      </c>
      <c r="C774" s="106" t="s">
        <v>114</v>
      </c>
      <c r="D774" s="106" t="s">
        <v>12</v>
      </c>
      <c r="E774" s="272" t="s">
        <v>799</v>
      </c>
      <c r="F774" s="105" t="s">
        <v>118</v>
      </c>
      <c r="G774" s="7">
        <v>10</v>
      </c>
    </row>
    <row r="775" spans="2:7" hidden="1" x14ac:dyDescent="0.25">
      <c r="B775" s="273" t="s">
        <v>959</v>
      </c>
      <c r="C775" s="106" t="s">
        <v>114</v>
      </c>
      <c r="D775" s="106" t="s">
        <v>12</v>
      </c>
      <c r="E775" s="272" t="s">
        <v>799</v>
      </c>
      <c r="F775" s="105" t="s">
        <v>206</v>
      </c>
      <c r="G775" s="7">
        <v>6</v>
      </c>
    </row>
    <row r="776" spans="2:7" hidden="1" x14ac:dyDescent="0.25">
      <c r="B776" s="273" t="s">
        <v>959</v>
      </c>
      <c r="C776" s="106" t="s">
        <v>114</v>
      </c>
      <c r="D776" s="106" t="s">
        <v>12</v>
      </c>
      <c r="E776" s="272" t="s">
        <v>799</v>
      </c>
      <c r="F776" s="105" t="s">
        <v>121</v>
      </c>
      <c r="G776" s="7">
        <v>10</v>
      </c>
    </row>
    <row r="777" spans="2:7" hidden="1" x14ac:dyDescent="0.25">
      <c r="B777" s="273" t="s">
        <v>959</v>
      </c>
      <c r="C777" s="106" t="s">
        <v>114</v>
      </c>
      <c r="D777" s="106" t="s">
        <v>12</v>
      </c>
      <c r="E777" s="272" t="s">
        <v>799</v>
      </c>
      <c r="F777" s="105" t="s">
        <v>124</v>
      </c>
      <c r="G777" s="7">
        <v>10</v>
      </c>
    </row>
    <row r="778" spans="2:7" hidden="1" x14ac:dyDescent="0.25">
      <c r="B778" s="273" t="s">
        <v>959</v>
      </c>
      <c r="C778" s="106" t="s">
        <v>114</v>
      </c>
      <c r="D778" s="106" t="s">
        <v>12</v>
      </c>
      <c r="E778" s="272" t="s">
        <v>799</v>
      </c>
      <c r="F778" s="105" t="s">
        <v>127</v>
      </c>
      <c r="G778" s="7">
        <v>10</v>
      </c>
    </row>
    <row r="779" spans="2:7" hidden="1" x14ac:dyDescent="0.25">
      <c r="B779" s="273" t="s">
        <v>959</v>
      </c>
      <c r="C779" s="106" t="s">
        <v>114</v>
      </c>
      <c r="D779" s="106" t="s">
        <v>12</v>
      </c>
      <c r="E779" s="272" t="s">
        <v>799</v>
      </c>
      <c r="F779" s="105" t="s">
        <v>130</v>
      </c>
      <c r="G779" s="7">
        <v>9</v>
      </c>
    </row>
    <row r="780" spans="2:7" hidden="1" x14ac:dyDescent="0.25">
      <c r="B780" s="273" t="s">
        <v>959</v>
      </c>
      <c r="C780" s="106" t="s">
        <v>114</v>
      </c>
      <c r="D780" s="106" t="s">
        <v>12</v>
      </c>
      <c r="E780" s="106" t="s">
        <v>798</v>
      </c>
      <c r="F780" s="105" t="s">
        <v>133</v>
      </c>
      <c r="G780" s="7">
        <v>9</v>
      </c>
    </row>
    <row r="781" spans="2:7" hidden="1" x14ac:dyDescent="0.25">
      <c r="B781" s="273" t="s">
        <v>959</v>
      </c>
      <c r="C781" s="106" t="s">
        <v>114</v>
      </c>
      <c r="D781" s="106" t="s">
        <v>12</v>
      </c>
      <c r="E781" s="106" t="s">
        <v>797</v>
      </c>
      <c r="F781" s="105" t="s">
        <v>185</v>
      </c>
      <c r="G781" s="7">
        <v>7</v>
      </c>
    </row>
    <row r="782" spans="2:7" hidden="1" x14ac:dyDescent="0.25">
      <c r="B782" s="273" t="s">
        <v>959</v>
      </c>
      <c r="C782" s="106" t="s">
        <v>114</v>
      </c>
      <c r="D782" s="106" t="s">
        <v>12</v>
      </c>
      <c r="E782" s="106" t="s">
        <v>797</v>
      </c>
      <c r="F782" s="105" t="s">
        <v>186</v>
      </c>
      <c r="G782" s="7">
        <v>5</v>
      </c>
    </row>
    <row r="783" spans="2:7" hidden="1" x14ac:dyDescent="0.25">
      <c r="B783" s="273" t="s">
        <v>959</v>
      </c>
      <c r="C783" s="106" t="s">
        <v>114</v>
      </c>
      <c r="D783" s="106" t="s">
        <v>12</v>
      </c>
      <c r="E783" s="106" t="s">
        <v>788</v>
      </c>
      <c r="F783" s="105" t="s">
        <v>221</v>
      </c>
      <c r="G783" s="7">
        <v>6</v>
      </c>
    </row>
    <row r="784" spans="2:7" hidden="1" x14ac:dyDescent="0.25">
      <c r="B784" s="273" t="s">
        <v>959</v>
      </c>
      <c r="C784" s="106" t="s">
        <v>114</v>
      </c>
      <c r="D784" s="106" t="s">
        <v>12</v>
      </c>
      <c r="E784" s="106" t="s">
        <v>788</v>
      </c>
      <c r="F784" s="105" t="s">
        <v>222</v>
      </c>
      <c r="G784" s="7">
        <v>9</v>
      </c>
    </row>
    <row r="785" spans="2:7" hidden="1" x14ac:dyDescent="0.25">
      <c r="B785" s="273" t="s">
        <v>959</v>
      </c>
      <c r="C785" s="106" t="s">
        <v>114</v>
      </c>
      <c r="D785" s="106" t="s">
        <v>12</v>
      </c>
      <c r="E785" s="106" t="s">
        <v>787</v>
      </c>
      <c r="F785" s="105" t="s">
        <v>775</v>
      </c>
      <c r="G785" s="7">
        <v>0</v>
      </c>
    </row>
    <row r="786" spans="2:7" hidden="1" x14ac:dyDescent="0.25">
      <c r="B786" s="273" t="s">
        <v>959</v>
      </c>
      <c r="C786" s="106" t="s">
        <v>114</v>
      </c>
      <c r="D786" s="106" t="s">
        <v>12</v>
      </c>
      <c r="E786" s="106" t="s">
        <v>787</v>
      </c>
      <c r="F786" s="105" t="s">
        <v>776</v>
      </c>
      <c r="G786" s="7">
        <v>5</v>
      </c>
    </row>
    <row r="787" spans="2:7" hidden="1" x14ac:dyDescent="0.25">
      <c r="B787" s="273" t="s">
        <v>959</v>
      </c>
      <c r="C787" s="106" t="s">
        <v>114</v>
      </c>
      <c r="D787" s="106" t="s">
        <v>12</v>
      </c>
      <c r="E787" s="106" t="s">
        <v>786</v>
      </c>
      <c r="F787" s="105" t="s">
        <v>783</v>
      </c>
      <c r="G787" s="7">
        <v>0</v>
      </c>
    </row>
    <row r="788" spans="2:7" hidden="1" x14ac:dyDescent="0.25">
      <c r="B788" s="273" t="s">
        <v>959</v>
      </c>
      <c r="C788" s="106" t="s">
        <v>114</v>
      </c>
      <c r="D788" s="106" t="s">
        <v>12</v>
      </c>
      <c r="E788" s="106" t="s">
        <v>786</v>
      </c>
      <c r="F788" s="105" t="s">
        <v>784</v>
      </c>
      <c r="G788" s="7">
        <v>0</v>
      </c>
    </row>
    <row r="789" spans="2:7" hidden="1" x14ac:dyDescent="0.25">
      <c r="B789" s="273" t="s">
        <v>959</v>
      </c>
      <c r="C789" s="106" t="s">
        <v>114</v>
      </c>
      <c r="D789" s="106" t="s">
        <v>34</v>
      </c>
      <c r="E789" s="272" t="s">
        <v>799</v>
      </c>
      <c r="F789" s="105" t="s">
        <v>134</v>
      </c>
      <c r="G789" s="7">
        <v>10</v>
      </c>
    </row>
    <row r="790" spans="2:7" hidden="1" x14ac:dyDescent="0.25">
      <c r="B790" s="273" t="s">
        <v>959</v>
      </c>
      <c r="C790" s="106" t="s">
        <v>114</v>
      </c>
      <c r="D790" s="106" t="s">
        <v>34</v>
      </c>
      <c r="E790" s="272" t="s">
        <v>799</v>
      </c>
      <c r="F790" s="105" t="s">
        <v>137</v>
      </c>
      <c r="G790" s="7">
        <v>10</v>
      </c>
    </row>
    <row r="791" spans="2:7" hidden="1" x14ac:dyDescent="0.25">
      <c r="B791" s="273" t="s">
        <v>959</v>
      </c>
      <c r="C791" s="106" t="s">
        <v>114</v>
      </c>
      <c r="D791" s="106" t="s">
        <v>41</v>
      </c>
      <c r="E791" s="272" t="s">
        <v>799</v>
      </c>
      <c r="F791" s="105" t="s">
        <v>140</v>
      </c>
      <c r="G791" s="7">
        <v>5</v>
      </c>
    </row>
    <row r="792" spans="2:7" hidden="1" x14ac:dyDescent="0.25">
      <c r="B792" s="273" t="s">
        <v>959</v>
      </c>
      <c r="C792" s="106" t="s">
        <v>114</v>
      </c>
      <c r="D792" s="106" t="s">
        <v>41</v>
      </c>
      <c r="E792" s="272" t="s">
        <v>799</v>
      </c>
      <c r="F792" s="105" t="s">
        <v>141</v>
      </c>
      <c r="G792" s="7">
        <v>5</v>
      </c>
    </row>
    <row r="793" spans="2:7" hidden="1" x14ac:dyDescent="0.25">
      <c r="B793" s="273" t="s">
        <v>959</v>
      </c>
      <c r="C793" s="280" t="s">
        <v>114</v>
      </c>
      <c r="D793" s="280" t="s">
        <v>46</v>
      </c>
      <c r="E793" s="281" t="s">
        <v>799</v>
      </c>
      <c r="F793" s="282" t="s">
        <v>142</v>
      </c>
      <c r="G793" s="15">
        <v>4</v>
      </c>
    </row>
    <row r="794" spans="2:7" x14ac:dyDescent="0.25">
      <c r="B794" s="283" t="s">
        <v>961</v>
      </c>
      <c r="C794" s="284" t="s">
        <v>11</v>
      </c>
      <c r="D794" s="284" t="s">
        <v>12</v>
      </c>
      <c r="E794" s="285" t="s">
        <v>799</v>
      </c>
      <c r="F794" s="284" t="s">
        <v>812</v>
      </c>
      <c r="G794" s="286">
        <v>10</v>
      </c>
    </row>
    <row r="795" spans="2:7" x14ac:dyDescent="0.25">
      <c r="B795" s="283" t="s">
        <v>961</v>
      </c>
      <c r="C795" s="284" t="s">
        <v>11</v>
      </c>
      <c r="D795" s="284" t="s">
        <v>12</v>
      </c>
      <c r="E795" s="285" t="s">
        <v>799</v>
      </c>
      <c r="F795" s="286" t="s">
        <v>813</v>
      </c>
      <c r="G795" s="286">
        <v>10</v>
      </c>
    </row>
    <row r="796" spans="2:7" x14ac:dyDescent="0.25">
      <c r="B796" s="283" t="s">
        <v>961</v>
      </c>
      <c r="C796" s="284" t="s">
        <v>11</v>
      </c>
      <c r="D796" s="284" t="s">
        <v>12</v>
      </c>
      <c r="E796" s="285" t="s">
        <v>799</v>
      </c>
      <c r="F796" s="286" t="s">
        <v>814</v>
      </c>
      <c r="G796" s="286">
        <v>7</v>
      </c>
    </row>
    <row r="797" spans="2:7" x14ac:dyDescent="0.25">
      <c r="B797" s="283" t="s">
        <v>961</v>
      </c>
      <c r="C797" s="284" t="s">
        <v>11</v>
      </c>
      <c r="D797" s="284" t="s">
        <v>12</v>
      </c>
      <c r="E797" s="285" t="s">
        <v>799</v>
      </c>
      <c r="F797" s="286" t="s">
        <v>815</v>
      </c>
      <c r="G797" s="286">
        <v>10</v>
      </c>
    </row>
    <row r="798" spans="2:7" x14ac:dyDescent="0.25">
      <c r="B798" s="283" t="s">
        <v>961</v>
      </c>
      <c r="C798" s="284" t="s">
        <v>11</v>
      </c>
      <c r="D798" s="284" t="s">
        <v>12</v>
      </c>
      <c r="E798" s="285" t="s">
        <v>799</v>
      </c>
      <c r="F798" s="286" t="s">
        <v>816</v>
      </c>
      <c r="G798" s="286">
        <v>10</v>
      </c>
    </row>
    <row r="799" spans="2:7" x14ac:dyDescent="0.25">
      <c r="B799" s="283" t="s">
        <v>961</v>
      </c>
      <c r="C799" s="284" t="s">
        <v>11</v>
      </c>
      <c r="D799" s="284" t="s">
        <v>12</v>
      </c>
      <c r="E799" s="285" t="s">
        <v>799</v>
      </c>
      <c r="F799" s="286" t="s">
        <v>817</v>
      </c>
      <c r="G799" s="286">
        <v>10</v>
      </c>
    </row>
    <row r="800" spans="2:7" x14ac:dyDescent="0.25">
      <c r="B800" s="283" t="s">
        <v>961</v>
      </c>
      <c r="C800" s="284" t="s">
        <v>11</v>
      </c>
      <c r="D800" s="284" t="s">
        <v>12</v>
      </c>
      <c r="E800" s="285" t="s">
        <v>799</v>
      </c>
      <c r="F800" s="286" t="s">
        <v>818</v>
      </c>
      <c r="G800" s="286">
        <v>10</v>
      </c>
    </row>
    <row r="801" spans="2:7" x14ac:dyDescent="0.25">
      <c r="B801" s="283" t="s">
        <v>961</v>
      </c>
      <c r="C801" s="284" t="s">
        <v>11</v>
      </c>
      <c r="D801" s="284" t="s">
        <v>12</v>
      </c>
      <c r="E801" s="284" t="s">
        <v>798</v>
      </c>
      <c r="F801" s="286" t="s">
        <v>819</v>
      </c>
      <c r="G801" s="286">
        <v>8</v>
      </c>
    </row>
    <row r="802" spans="2:7" x14ac:dyDescent="0.25">
      <c r="B802" s="283" t="s">
        <v>961</v>
      </c>
      <c r="C802" s="284" t="s">
        <v>11</v>
      </c>
      <c r="D802" s="284" t="s">
        <v>12</v>
      </c>
      <c r="E802" s="284" t="s">
        <v>797</v>
      </c>
      <c r="F802" s="286" t="s">
        <v>820</v>
      </c>
      <c r="G802" s="286">
        <v>10</v>
      </c>
    </row>
    <row r="803" spans="2:7" x14ac:dyDescent="0.25">
      <c r="B803" s="283" t="s">
        <v>961</v>
      </c>
      <c r="C803" s="284" t="s">
        <v>11</v>
      </c>
      <c r="D803" s="284" t="s">
        <v>12</v>
      </c>
      <c r="E803" s="284" t="s">
        <v>797</v>
      </c>
      <c r="F803" s="286" t="s">
        <v>821</v>
      </c>
      <c r="G803" s="286">
        <v>9</v>
      </c>
    </row>
    <row r="804" spans="2:7" x14ac:dyDescent="0.25">
      <c r="B804" s="283" t="s">
        <v>961</v>
      </c>
      <c r="C804" s="284" t="s">
        <v>11</v>
      </c>
      <c r="D804" s="284" t="s">
        <v>12</v>
      </c>
      <c r="E804" s="284" t="s">
        <v>788</v>
      </c>
      <c r="F804" s="286" t="s">
        <v>822</v>
      </c>
      <c r="G804" s="286">
        <v>0</v>
      </c>
    </row>
    <row r="805" spans="2:7" x14ac:dyDescent="0.25">
      <c r="B805" s="283" t="s">
        <v>961</v>
      </c>
      <c r="C805" s="284" t="s">
        <v>11</v>
      </c>
      <c r="D805" s="284" t="s">
        <v>12</v>
      </c>
      <c r="E805" s="284" t="s">
        <v>788</v>
      </c>
      <c r="F805" s="286" t="s">
        <v>823</v>
      </c>
      <c r="G805" s="286">
        <v>6</v>
      </c>
    </row>
    <row r="806" spans="2:7" x14ac:dyDescent="0.25">
      <c r="B806" s="283" t="s">
        <v>961</v>
      </c>
      <c r="C806" s="284" t="s">
        <v>11</v>
      </c>
      <c r="D806" s="284" t="s">
        <v>12</v>
      </c>
      <c r="E806" s="284" t="s">
        <v>787</v>
      </c>
      <c r="F806" s="286" t="s">
        <v>824</v>
      </c>
      <c r="G806" s="286">
        <v>7</v>
      </c>
    </row>
    <row r="807" spans="2:7" x14ac:dyDescent="0.25">
      <c r="B807" s="283" t="s">
        <v>961</v>
      </c>
      <c r="C807" s="284" t="s">
        <v>11</v>
      </c>
      <c r="D807" s="284" t="s">
        <v>12</v>
      </c>
      <c r="E807" s="284" t="s">
        <v>787</v>
      </c>
      <c r="F807" s="286" t="s">
        <v>825</v>
      </c>
      <c r="G807" s="286">
        <v>5</v>
      </c>
    </row>
    <row r="808" spans="2:7" x14ac:dyDescent="0.25">
      <c r="B808" s="283" t="s">
        <v>961</v>
      </c>
      <c r="C808" s="284" t="s">
        <v>11</v>
      </c>
      <c r="D808" s="284" t="s">
        <v>12</v>
      </c>
      <c r="E808" s="284" t="s">
        <v>786</v>
      </c>
      <c r="F808" s="286" t="s">
        <v>826</v>
      </c>
      <c r="G808" s="286">
        <v>5</v>
      </c>
    </row>
    <row r="809" spans="2:7" x14ac:dyDescent="0.25">
      <c r="B809" s="283" t="s">
        <v>961</v>
      </c>
      <c r="C809" s="284" t="s">
        <v>11</v>
      </c>
      <c r="D809" s="284" t="s">
        <v>12</v>
      </c>
      <c r="E809" s="284" t="s">
        <v>786</v>
      </c>
      <c r="F809" s="286" t="s">
        <v>827</v>
      </c>
      <c r="G809" s="286">
        <v>5</v>
      </c>
    </row>
    <row r="810" spans="2:7" x14ac:dyDescent="0.25">
      <c r="B810" s="283" t="s">
        <v>961</v>
      </c>
      <c r="C810" s="284" t="s">
        <v>11</v>
      </c>
      <c r="D810" s="284" t="s">
        <v>34</v>
      </c>
      <c r="E810" s="285" t="s">
        <v>799</v>
      </c>
      <c r="F810" s="286" t="s">
        <v>828</v>
      </c>
      <c r="G810" s="286">
        <v>10</v>
      </c>
    </row>
    <row r="811" spans="2:7" x14ac:dyDescent="0.25">
      <c r="B811" s="283" t="s">
        <v>961</v>
      </c>
      <c r="C811" s="284" t="s">
        <v>11</v>
      </c>
      <c r="D811" s="286" t="s">
        <v>34</v>
      </c>
      <c r="E811" s="285" t="s">
        <v>799</v>
      </c>
      <c r="F811" s="286" t="s">
        <v>829</v>
      </c>
      <c r="G811" s="286">
        <v>10</v>
      </c>
    </row>
    <row r="812" spans="2:7" x14ac:dyDescent="0.25">
      <c r="B812" s="283" t="s">
        <v>961</v>
      </c>
      <c r="C812" s="284" t="s">
        <v>11</v>
      </c>
      <c r="D812" s="286" t="s">
        <v>41</v>
      </c>
      <c r="E812" s="285" t="s">
        <v>799</v>
      </c>
      <c r="F812" s="286" t="s">
        <v>830</v>
      </c>
      <c r="G812" s="286">
        <v>5</v>
      </c>
    </row>
    <row r="813" spans="2:7" x14ac:dyDescent="0.25">
      <c r="B813" s="283" t="s">
        <v>961</v>
      </c>
      <c r="C813" s="284" t="s">
        <v>11</v>
      </c>
      <c r="D813" s="286" t="s">
        <v>41</v>
      </c>
      <c r="E813" s="285" t="s">
        <v>799</v>
      </c>
      <c r="F813" s="286" t="s">
        <v>831</v>
      </c>
      <c r="G813" s="286">
        <v>5</v>
      </c>
    </row>
    <row r="814" spans="2:7" x14ac:dyDescent="0.25">
      <c r="B814" s="283" t="s">
        <v>961</v>
      </c>
      <c r="C814" s="284" t="s">
        <v>11</v>
      </c>
      <c r="D814" s="286" t="s">
        <v>41</v>
      </c>
      <c r="E814" s="285" t="s">
        <v>799</v>
      </c>
      <c r="F814" s="286" t="s">
        <v>832</v>
      </c>
      <c r="G814" s="286">
        <v>5</v>
      </c>
    </row>
    <row r="815" spans="2:7" x14ac:dyDescent="0.25">
      <c r="B815" s="283" t="s">
        <v>961</v>
      </c>
      <c r="C815" s="284" t="s">
        <v>11</v>
      </c>
      <c r="D815" s="286" t="s">
        <v>46</v>
      </c>
      <c r="E815" s="285" t="s">
        <v>799</v>
      </c>
      <c r="F815" s="286" t="s">
        <v>833</v>
      </c>
      <c r="G815" s="286">
        <v>4</v>
      </c>
    </row>
    <row r="816" spans="2:7" x14ac:dyDescent="0.25">
      <c r="B816" s="283" t="s">
        <v>961</v>
      </c>
      <c r="C816" s="284" t="s">
        <v>48</v>
      </c>
      <c r="D816" s="286" t="s">
        <v>12</v>
      </c>
      <c r="E816" s="285" t="s">
        <v>799</v>
      </c>
      <c r="F816" s="286" t="s">
        <v>834</v>
      </c>
      <c r="G816" s="286">
        <v>10</v>
      </c>
    </row>
    <row r="817" spans="2:7" x14ac:dyDescent="0.25">
      <c r="B817" s="283" t="s">
        <v>961</v>
      </c>
      <c r="C817" s="284" t="s">
        <v>48</v>
      </c>
      <c r="D817" s="284" t="s">
        <v>12</v>
      </c>
      <c r="E817" s="285" t="s">
        <v>799</v>
      </c>
      <c r="F817" s="286" t="s">
        <v>835</v>
      </c>
      <c r="G817" s="286">
        <v>10</v>
      </c>
    </row>
    <row r="818" spans="2:7" x14ac:dyDescent="0.25">
      <c r="B818" s="283" t="s">
        <v>961</v>
      </c>
      <c r="C818" s="284" t="s">
        <v>48</v>
      </c>
      <c r="D818" s="284" t="s">
        <v>12</v>
      </c>
      <c r="E818" s="285" t="s">
        <v>799</v>
      </c>
      <c r="F818" s="286" t="s">
        <v>836</v>
      </c>
      <c r="G818" s="286">
        <v>10</v>
      </c>
    </row>
    <row r="819" spans="2:7" x14ac:dyDescent="0.25">
      <c r="B819" s="283" t="s">
        <v>961</v>
      </c>
      <c r="C819" s="284" t="s">
        <v>48</v>
      </c>
      <c r="D819" s="284" t="s">
        <v>12</v>
      </c>
      <c r="E819" s="285" t="s">
        <v>799</v>
      </c>
      <c r="F819" s="286" t="s">
        <v>837</v>
      </c>
      <c r="G819" s="286">
        <v>9</v>
      </c>
    </row>
    <row r="820" spans="2:7" x14ac:dyDescent="0.25">
      <c r="B820" s="283" t="s">
        <v>961</v>
      </c>
      <c r="C820" s="284" t="s">
        <v>48</v>
      </c>
      <c r="D820" s="284" t="s">
        <v>12</v>
      </c>
      <c r="E820" s="285" t="s">
        <v>799</v>
      </c>
      <c r="F820" s="286" t="s">
        <v>838</v>
      </c>
      <c r="G820" s="286">
        <v>10</v>
      </c>
    </row>
    <row r="821" spans="2:7" x14ac:dyDescent="0.25">
      <c r="B821" s="283" t="s">
        <v>961</v>
      </c>
      <c r="C821" s="284" t="s">
        <v>48</v>
      </c>
      <c r="D821" s="284" t="s">
        <v>12</v>
      </c>
      <c r="E821" s="285" t="s">
        <v>799</v>
      </c>
      <c r="F821" s="286" t="s">
        <v>839</v>
      </c>
      <c r="G821" s="286">
        <v>10</v>
      </c>
    </row>
    <row r="822" spans="2:7" x14ac:dyDescent="0.25">
      <c r="B822" s="283" t="s">
        <v>961</v>
      </c>
      <c r="C822" s="284" t="s">
        <v>48</v>
      </c>
      <c r="D822" s="284" t="s">
        <v>12</v>
      </c>
      <c r="E822" s="285" t="s">
        <v>799</v>
      </c>
      <c r="F822" s="286" t="s">
        <v>840</v>
      </c>
      <c r="G822" s="286">
        <v>10</v>
      </c>
    </row>
    <row r="823" spans="2:7" x14ac:dyDescent="0.25">
      <c r="B823" s="283" t="s">
        <v>961</v>
      </c>
      <c r="C823" s="284" t="s">
        <v>48</v>
      </c>
      <c r="D823" s="284" t="s">
        <v>12</v>
      </c>
      <c r="E823" s="285" t="s">
        <v>799</v>
      </c>
      <c r="F823" s="286" t="s">
        <v>841</v>
      </c>
      <c r="G823" s="286">
        <v>9</v>
      </c>
    </row>
    <row r="824" spans="2:7" x14ac:dyDescent="0.25">
      <c r="B824" s="283" t="s">
        <v>961</v>
      </c>
      <c r="C824" s="284" t="s">
        <v>48</v>
      </c>
      <c r="D824" s="284" t="s">
        <v>12</v>
      </c>
      <c r="E824" s="284" t="s">
        <v>798</v>
      </c>
      <c r="F824" s="286" t="s">
        <v>842</v>
      </c>
      <c r="G824" s="286">
        <v>9</v>
      </c>
    </row>
    <row r="825" spans="2:7" x14ac:dyDescent="0.25">
      <c r="B825" s="283" t="s">
        <v>961</v>
      </c>
      <c r="C825" s="284" t="s">
        <v>48</v>
      </c>
      <c r="D825" s="284" t="s">
        <v>12</v>
      </c>
      <c r="E825" s="284" t="s">
        <v>798</v>
      </c>
      <c r="F825" s="286" t="s">
        <v>843</v>
      </c>
      <c r="G825" s="286">
        <v>10</v>
      </c>
    </row>
    <row r="826" spans="2:7" x14ac:dyDescent="0.25">
      <c r="B826" s="283" t="s">
        <v>961</v>
      </c>
      <c r="C826" s="284" t="s">
        <v>48</v>
      </c>
      <c r="D826" s="284" t="s">
        <v>12</v>
      </c>
      <c r="E826" s="284" t="s">
        <v>797</v>
      </c>
      <c r="F826" s="286" t="s">
        <v>844</v>
      </c>
      <c r="G826" s="286">
        <v>9</v>
      </c>
    </row>
    <row r="827" spans="2:7" x14ac:dyDescent="0.25">
      <c r="B827" s="283" t="s">
        <v>961</v>
      </c>
      <c r="C827" s="284" t="s">
        <v>48</v>
      </c>
      <c r="D827" s="284" t="s">
        <v>12</v>
      </c>
      <c r="E827" s="284" t="s">
        <v>797</v>
      </c>
      <c r="F827" s="286" t="s">
        <v>845</v>
      </c>
      <c r="G827" s="286">
        <v>6</v>
      </c>
    </row>
    <row r="828" spans="2:7" x14ac:dyDescent="0.25">
      <c r="B828" s="283" t="s">
        <v>961</v>
      </c>
      <c r="C828" s="284" t="s">
        <v>48</v>
      </c>
      <c r="D828" s="284" t="s">
        <v>12</v>
      </c>
      <c r="E828" s="284" t="s">
        <v>788</v>
      </c>
      <c r="F828" s="286" t="s">
        <v>846</v>
      </c>
      <c r="G828" s="286">
        <v>6</v>
      </c>
    </row>
    <row r="829" spans="2:7" x14ac:dyDescent="0.25">
      <c r="B829" s="283" t="s">
        <v>961</v>
      </c>
      <c r="C829" s="284" t="s">
        <v>48</v>
      </c>
      <c r="D829" s="284" t="s">
        <v>12</v>
      </c>
      <c r="E829" s="284" t="s">
        <v>788</v>
      </c>
      <c r="F829" s="286" t="s">
        <v>847</v>
      </c>
      <c r="G829" s="286">
        <v>7</v>
      </c>
    </row>
    <row r="830" spans="2:7" x14ac:dyDescent="0.25">
      <c r="B830" s="283" t="s">
        <v>961</v>
      </c>
      <c r="C830" s="284" t="s">
        <v>48</v>
      </c>
      <c r="D830" s="284" t="s">
        <v>12</v>
      </c>
      <c r="E830" s="284" t="s">
        <v>787</v>
      </c>
      <c r="F830" s="286" t="s">
        <v>848</v>
      </c>
      <c r="G830" s="286">
        <v>7</v>
      </c>
    </row>
    <row r="831" spans="2:7" x14ac:dyDescent="0.25">
      <c r="B831" s="283" t="s">
        <v>961</v>
      </c>
      <c r="C831" s="284" t="s">
        <v>48</v>
      </c>
      <c r="D831" s="284" t="s">
        <v>12</v>
      </c>
      <c r="E831" s="284" t="s">
        <v>787</v>
      </c>
      <c r="F831" s="286" t="s">
        <v>849</v>
      </c>
      <c r="G831" s="286">
        <v>0</v>
      </c>
    </row>
    <row r="832" spans="2:7" x14ac:dyDescent="0.25">
      <c r="B832" s="283" t="s">
        <v>961</v>
      </c>
      <c r="C832" s="284" t="s">
        <v>48</v>
      </c>
      <c r="D832" s="284" t="s">
        <v>12</v>
      </c>
      <c r="E832" s="284" t="s">
        <v>786</v>
      </c>
      <c r="F832" s="286" t="s">
        <v>850</v>
      </c>
      <c r="G832" s="286">
        <v>6</v>
      </c>
    </row>
    <row r="833" spans="2:7" x14ac:dyDescent="0.25">
      <c r="B833" s="283" t="s">
        <v>961</v>
      </c>
      <c r="C833" s="284" t="s">
        <v>48</v>
      </c>
      <c r="D833" s="284" t="s">
        <v>12</v>
      </c>
      <c r="E833" s="284" t="s">
        <v>786</v>
      </c>
      <c r="F833" s="286" t="s">
        <v>851</v>
      </c>
      <c r="G833" s="286">
        <v>6</v>
      </c>
    </row>
    <row r="834" spans="2:7" x14ac:dyDescent="0.25">
      <c r="B834" s="283" t="s">
        <v>961</v>
      </c>
      <c r="C834" s="284" t="s">
        <v>48</v>
      </c>
      <c r="D834" s="284" t="s">
        <v>34</v>
      </c>
      <c r="E834" s="285" t="s">
        <v>799</v>
      </c>
      <c r="F834" s="286" t="s">
        <v>852</v>
      </c>
      <c r="G834" s="286">
        <v>10</v>
      </c>
    </row>
    <row r="835" spans="2:7" x14ac:dyDescent="0.25">
      <c r="B835" s="283" t="s">
        <v>961</v>
      </c>
      <c r="C835" s="284" t="s">
        <v>48</v>
      </c>
      <c r="D835" s="284" t="s">
        <v>34</v>
      </c>
      <c r="E835" s="285" t="s">
        <v>799</v>
      </c>
      <c r="F835" s="286" t="s">
        <v>853</v>
      </c>
      <c r="G835" s="286">
        <v>10</v>
      </c>
    </row>
    <row r="836" spans="2:7" x14ac:dyDescent="0.25">
      <c r="B836" s="283" t="s">
        <v>961</v>
      </c>
      <c r="C836" s="284" t="s">
        <v>48</v>
      </c>
      <c r="D836" s="284" t="s">
        <v>41</v>
      </c>
      <c r="E836" s="285" t="s">
        <v>799</v>
      </c>
      <c r="F836" s="286" t="s">
        <v>854</v>
      </c>
      <c r="G836" s="286">
        <v>5</v>
      </c>
    </row>
    <row r="837" spans="2:7" x14ac:dyDescent="0.25">
      <c r="B837" s="283" t="s">
        <v>961</v>
      </c>
      <c r="C837" s="284" t="s">
        <v>48</v>
      </c>
      <c r="D837" s="284" t="s">
        <v>41</v>
      </c>
      <c r="E837" s="285" t="s">
        <v>799</v>
      </c>
      <c r="F837" s="286" t="s">
        <v>855</v>
      </c>
      <c r="G837" s="286">
        <v>5</v>
      </c>
    </row>
    <row r="838" spans="2:7" x14ac:dyDescent="0.25">
      <c r="B838" s="283" t="s">
        <v>961</v>
      </c>
      <c r="C838" s="284" t="s">
        <v>48</v>
      </c>
      <c r="D838" s="284" t="s">
        <v>46</v>
      </c>
      <c r="E838" s="285" t="s">
        <v>799</v>
      </c>
      <c r="F838" s="286" t="s">
        <v>856</v>
      </c>
      <c r="G838" s="286">
        <v>4</v>
      </c>
    </row>
    <row r="839" spans="2:7" x14ac:dyDescent="0.25">
      <c r="B839" s="283" t="s">
        <v>961</v>
      </c>
      <c r="C839" s="284" t="s">
        <v>83</v>
      </c>
      <c r="D839" s="284" t="s">
        <v>12</v>
      </c>
      <c r="E839" s="285" t="s">
        <v>799</v>
      </c>
      <c r="F839" s="286" t="s">
        <v>857</v>
      </c>
      <c r="G839" s="286">
        <v>10</v>
      </c>
    </row>
    <row r="840" spans="2:7" x14ac:dyDescent="0.25">
      <c r="B840" s="283" t="s">
        <v>961</v>
      </c>
      <c r="C840" s="284" t="s">
        <v>83</v>
      </c>
      <c r="D840" s="284" t="s">
        <v>12</v>
      </c>
      <c r="E840" s="285" t="s">
        <v>799</v>
      </c>
      <c r="F840" s="286" t="s">
        <v>858</v>
      </c>
      <c r="G840" s="286">
        <v>10</v>
      </c>
    </row>
    <row r="841" spans="2:7" x14ac:dyDescent="0.25">
      <c r="B841" s="283" t="s">
        <v>961</v>
      </c>
      <c r="C841" s="284" t="s">
        <v>83</v>
      </c>
      <c r="D841" s="284" t="s">
        <v>12</v>
      </c>
      <c r="E841" s="285" t="s">
        <v>799</v>
      </c>
      <c r="F841" s="286" t="s">
        <v>859</v>
      </c>
      <c r="G841" s="286">
        <v>10</v>
      </c>
    </row>
    <row r="842" spans="2:7" x14ac:dyDescent="0.25">
      <c r="B842" s="283" t="s">
        <v>961</v>
      </c>
      <c r="C842" s="284" t="s">
        <v>83</v>
      </c>
      <c r="D842" s="284" t="s">
        <v>12</v>
      </c>
      <c r="E842" s="285" t="s">
        <v>799</v>
      </c>
      <c r="F842" s="286" t="s">
        <v>860</v>
      </c>
      <c r="G842" s="286">
        <v>10</v>
      </c>
    </row>
    <row r="843" spans="2:7" x14ac:dyDescent="0.25">
      <c r="B843" s="283" t="s">
        <v>961</v>
      </c>
      <c r="C843" s="284" t="s">
        <v>83</v>
      </c>
      <c r="D843" s="284" t="s">
        <v>12</v>
      </c>
      <c r="E843" s="285" t="s">
        <v>799</v>
      </c>
      <c r="F843" s="286" t="s">
        <v>861</v>
      </c>
      <c r="G843" s="286">
        <v>10</v>
      </c>
    </row>
    <row r="844" spans="2:7" x14ac:dyDescent="0.25">
      <c r="B844" s="283" t="s">
        <v>961</v>
      </c>
      <c r="C844" s="284" t="s">
        <v>83</v>
      </c>
      <c r="D844" s="284" t="s">
        <v>12</v>
      </c>
      <c r="E844" s="285" t="s">
        <v>799</v>
      </c>
      <c r="F844" s="286" t="s">
        <v>862</v>
      </c>
      <c r="G844" s="286">
        <v>10</v>
      </c>
    </row>
    <row r="845" spans="2:7" x14ac:dyDescent="0.25">
      <c r="B845" s="283" t="s">
        <v>961</v>
      </c>
      <c r="C845" s="284" t="s">
        <v>83</v>
      </c>
      <c r="D845" s="284" t="s">
        <v>12</v>
      </c>
      <c r="E845" s="285" t="s">
        <v>799</v>
      </c>
      <c r="F845" s="286" t="s">
        <v>863</v>
      </c>
      <c r="G845" s="286">
        <v>10</v>
      </c>
    </row>
    <row r="846" spans="2:7" x14ac:dyDescent="0.25">
      <c r="B846" s="283" t="s">
        <v>961</v>
      </c>
      <c r="C846" s="284" t="s">
        <v>83</v>
      </c>
      <c r="D846" s="284" t="s">
        <v>12</v>
      </c>
      <c r="E846" s="285" t="s">
        <v>799</v>
      </c>
      <c r="F846" s="286" t="s">
        <v>864</v>
      </c>
      <c r="G846" s="286">
        <v>9</v>
      </c>
    </row>
    <row r="847" spans="2:7" x14ac:dyDescent="0.25">
      <c r="B847" s="283" t="s">
        <v>961</v>
      </c>
      <c r="C847" s="284" t="s">
        <v>83</v>
      </c>
      <c r="D847" s="284" t="s">
        <v>12</v>
      </c>
      <c r="E847" s="284" t="s">
        <v>798</v>
      </c>
      <c r="F847" s="286" t="s">
        <v>865</v>
      </c>
      <c r="G847" s="286">
        <v>10</v>
      </c>
    </row>
    <row r="848" spans="2:7" x14ac:dyDescent="0.25">
      <c r="B848" s="283" t="s">
        <v>961</v>
      </c>
      <c r="C848" s="284" t="s">
        <v>83</v>
      </c>
      <c r="D848" s="284" t="s">
        <v>12</v>
      </c>
      <c r="E848" s="284" t="s">
        <v>798</v>
      </c>
      <c r="F848" s="286" t="s">
        <v>866</v>
      </c>
      <c r="G848" s="286">
        <v>9</v>
      </c>
    </row>
    <row r="849" spans="2:7" x14ac:dyDescent="0.25">
      <c r="B849" s="283" t="s">
        <v>961</v>
      </c>
      <c r="C849" s="284" t="s">
        <v>83</v>
      </c>
      <c r="D849" s="284" t="s">
        <v>12</v>
      </c>
      <c r="E849" s="284" t="s">
        <v>797</v>
      </c>
      <c r="F849" s="286" t="s">
        <v>867</v>
      </c>
      <c r="G849" s="286">
        <v>9</v>
      </c>
    </row>
    <row r="850" spans="2:7" x14ac:dyDescent="0.25">
      <c r="B850" s="283" t="s">
        <v>961</v>
      </c>
      <c r="C850" s="284" t="s">
        <v>83</v>
      </c>
      <c r="D850" s="284" t="s">
        <v>12</v>
      </c>
      <c r="E850" s="284" t="s">
        <v>797</v>
      </c>
      <c r="F850" s="286" t="s">
        <v>868</v>
      </c>
      <c r="G850" s="286">
        <v>10</v>
      </c>
    </row>
    <row r="851" spans="2:7" x14ac:dyDescent="0.25">
      <c r="B851" s="283" t="s">
        <v>961</v>
      </c>
      <c r="C851" s="284" t="s">
        <v>83</v>
      </c>
      <c r="D851" s="284" t="s">
        <v>12</v>
      </c>
      <c r="E851" s="284" t="s">
        <v>788</v>
      </c>
      <c r="F851" s="286" t="s">
        <v>869</v>
      </c>
      <c r="G851" s="286">
        <v>5</v>
      </c>
    </row>
    <row r="852" spans="2:7" x14ac:dyDescent="0.25">
      <c r="B852" s="283" t="s">
        <v>961</v>
      </c>
      <c r="C852" s="284" t="s">
        <v>83</v>
      </c>
      <c r="D852" s="284" t="s">
        <v>12</v>
      </c>
      <c r="E852" s="284" t="s">
        <v>788</v>
      </c>
      <c r="F852" s="286" t="s">
        <v>870</v>
      </c>
      <c r="G852" s="286">
        <v>7</v>
      </c>
    </row>
    <row r="853" spans="2:7" x14ac:dyDescent="0.25">
      <c r="B853" s="283" t="s">
        <v>961</v>
      </c>
      <c r="C853" s="284" t="s">
        <v>83</v>
      </c>
      <c r="D853" s="284" t="s">
        <v>12</v>
      </c>
      <c r="E853" s="284" t="s">
        <v>787</v>
      </c>
      <c r="F853" s="286" t="s">
        <v>871</v>
      </c>
      <c r="G853" s="286">
        <v>0</v>
      </c>
    </row>
    <row r="854" spans="2:7" x14ac:dyDescent="0.25">
      <c r="B854" s="283" t="s">
        <v>961</v>
      </c>
      <c r="C854" s="284" t="s">
        <v>83</v>
      </c>
      <c r="D854" s="284" t="s">
        <v>12</v>
      </c>
      <c r="E854" s="284" t="s">
        <v>787</v>
      </c>
      <c r="F854" s="286" t="s">
        <v>872</v>
      </c>
      <c r="G854" s="286">
        <v>9</v>
      </c>
    </row>
    <row r="855" spans="2:7" x14ac:dyDescent="0.25">
      <c r="B855" s="283" t="s">
        <v>961</v>
      </c>
      <c r="C855" s="284" t="s">
        <v>83</v>
      </c>
      <c r="D855" s="284" t="s">
        <v>12</v>
      </c>
      <c r="E855" s="284" t="s">
        <v>786</v>
      </c>
      <c r="F855" s="286" t="s">
        <v>873</v>
      </c>
      <c r="G855" s="286">
        <v>0</v>
      </c>
    </row>
    <row r="856" spans="2:7" x14ac:dyDescent="0.25">
      <c r="B856" s="283" t="s">
        <v>961</v>
      </c>
      <c r="C856" s="284" t="s">
        <v>83</v>
      </c>
      <c r="D856" s="284" t="s">
        <v>12</v>
      </c>
      <c r="E856" s="284" t="s">
        <v>786</v>
      </c>
      <c r="F856" s="286" t="s">
        <v>874</v>
      </c>
      <c r="G856" s="286">
        <v>8</v>
      </c>
    </row>
    <row r="857" spans="2:7" x14ac:dyDescent="0.25">
      <c r="B857" s="283" t="s">
        <v>961</v>
      </c>
      <c r="C857" s="284" t="s">
        <v>83</v>
      </c>
      <c r="D857" s="284" t="s">
        <v>34</v>
      </c>
      <c r="E857" s="285" t="s">
        <v>799</v>
      </c>
      <c r="F857" s="286" t="s">
        <v>875</v>
      </c>
      <c r="G857" s="286">
        <v>10</v>
      </c>
    </row>
    <row r="858" spans="2:7" x14ac:dyDescent="0.25">
      <c r="B858" s="283" t="s">
        <v>961</v>
      </c>
      <c r="C858" s="284" t="s">
        <v>83</v>
      </c>
      <c r="D858" s="284" t="s">
        <v>34</v>
      </c>
      <c r="E858" s="285" t="s">
        <v>799</v>
      </c>
      <c r="F858" s="286" t="s">
        <v>876</v>
      </c>
      <c r="G858" s="286">
        <v>10</v>
      </c>
    </row>
    <row r="859" spans="2:7" x14ac:dyDescent="0.25">
      <c r="B859" s="283" t="s">
        <v>961</v>
      </c>
      <c r="C859" s="284" t="s">
        <v>83</v>
      </c>
      <c r="D859" s="284" t="s">
        <v>41</v>
      </c>
      <c r="E859" s="285" t="s">
        <v>799</v>
      </c>
      <c r="F859" s="286" t="s">
        <v>877</v>
      </c>
      <c r="G859" s="286">
        <v>5</v>
      </c>
    </row>
    <row r="860" spans="2:7" x14ac:dyDescent="0.25">
      <c r="B860" s="283" t="s">
        <v>961</v>
      </c>
      <c r="C860" s="284" t="s">
        <v>83</v>
      </c>
      <c r="D860" s="284" t="s">
        <v>46</v>
      </c>
      <c r="E860" s="285" t="s">
        <v>799</v>
      </c>
      <c r="F860" s="286" t="s">
        <v>878</v>
      </c>
      <c r="G860" s="286">
        <v>4</v>
      </c>
    </row>
    <row r="861" spans="2:7" x14ac:dyDescent="0.25">
      <c r="B861" s="283" t="s">
        <v>961</v>
      </c>
      <c r="C861" s="284" t="s">
        <v>114</v>
      </c>
      <c r="D861" s="284" t="s">
        <v>12</v>
      </c>
      <c r="E861" s="285" t="s">
        <v>799</v>
      </c>
      <c r="F861" s="286" t="s">
        <v>879</v>
      </c>
      <c r="G861" s="286">
        <v>10</v>
      </c>
    </row>
    <row r="862" spans="2:7" x14ac:dyDescent="0.25">
      <c r="B862" s="283" t="s">
        <v>961</v>
      </c>
      <c r="C862" s="284" t="s">
        <v>114</v>
      </c>
      <c r="D862" s="284" t="s">
        <v>12</v>
      </c>
      <c r="E862" s="285" t="s">
        <v>799</v>
      </c>
      <c r="F862" s="286" t="s">
        <v>880</v>
      </c>
      <c r="G862" s="286">
        <v>10</v>
      </c>
    </row>
    <row r="863" spans="2:7" x14ac:dyDescent="0.25">
      <c r="B863" s="283" t="s">
        <v>961</v>
      </c>
      <c r="C863" s="284" t="s">
        <v>114</v>
      </c>
      <c r="D863" s="284" t="s">
        <v>12</v>
      </c>
      <c r="E863" s="285" t="s">
        <v>799</v>
      </c>
      <c r="F863" s="286" t="s">
        <v>881</v>
      </c>
      <c r="G863" s="286">
        <v>10</v>
      </c>
    </row>
    <row r="864" spans="2:7" x14ac:dyDescent="0.25">
      <c r="B864" s="283" t="s">
        <v>961</v>
      </c>
      <c r="C864" s="284" t="s">
        <v>114</v>
      </c>
      <c r="D864" s="284" t="s">
        <v>12</v>
      </c>
      <c r="E864" s="285" t="s">
        <v>799</v>
      </c>
      <c r="F864" s="286" t="s">
        <v>882</v>
      </c>
      <c r="G864" s="286">
        <v>10</v>
      </c>
    </row>
    <row r="865" spans="2:7" x14ac:dyDescent="0.25">
      <c r="B865" s="283" t="s">
        <v>961</v>
      </c>
      <c r="C865" s="284" t="s">
        <v>114</v>
      </c>
      <c r="D865" s="284" t="s">
        <v>12</v>
      </c>
      <c r="E865" s="285" t="s">
        <v>799</v>
      </c>
      <c r="F865" s="286" t="s">
        <v>883</v>
      </c>
      <c r="G865" s="286">
        <v>10</v>
      </c>
    </row>
    <row r="866" spans="2:7" x14ac:dyDescent="0.25">
      <c r="B866" s="283" t="s">
        <v>961</v>
      </c>
      <c r="C866" s="284" t="s">
        <v>114</v>
      </c>
      <c r="D866" s="284" t="s">
        <v>12</v>
      </c>
      <c r="E866" s="285" t="s">
        <v>799</v>
      </c>
      <c r="F866" s="286" t="s">
        <v>884</v>
      </c>
      <c r="G866" s="286">
        <v>10</v>
      </c>
    </row>
    <row r="867" spans="2:7" x14ac:dyDescent="0.25">
      <c r="B867" s="283" t="s">
        <v>961</v>
      </c>
      <c r="C867" s="284" t="s">
        <v>114</v>
      </c>
      <c r="D867" s="284" t="s">
        <v>12</v>
      </c>
      <c r="E867" s="285" t="s">
        <v>799</v>
      </c>
      <c r="F867" s="286" t="s">
        <v>885</v>
      </c>
      <c r="G867" s="286">
        <v>10</v>
      </c>
    </row>
    <row r="868" spans="2:7" x14ac:dyDescent="0.25">
      <c r="B868" s="283" t="s">
        <v>961</v>
      </c>
      <c r="C868" s="284" t="s">
        <v>114</v>
      </c>
      <c r="D868" s="284" t="s">
        <v>12</v>
      </c>
      <c r="E868" s="284" t="s">
        <v>798</v>
      </c>
      <c r="F868" s="286" t="s">
        <v>886</v>
      </c>
      <c r="G868" s="286">
        <v>10</v>
      </c>
    </row>
    <row r="869" spans="2:7" x14ac:dyDescent="0.25">
      <c r="B869" s="283" t="s">
        <v>961</v>
      </c>
      <c r="C869" s="284" t="s">
        <v>114</v>
      </c>
      <c r="D869" s="284" t="s">
        <v>12</v>
      </c>
      <c r="E869" s="284" t="s">
        <v>797</v>
      </c>
      <c r="F869" s="286" t="s">
        <v>887</v>
      </c>
      <c r="G869" s="286">
        <v>9</v>
      </c>
    </row>
    <row r="870" spans="2:7" x14ac:dyDescent="0.25">
      <c r="B870" s="283" t="s">
        <v>961</v>
      </c>
      <c r="C870" s="284" t="s">
        <v>114</v>
      </c>
      <c r="D870" s="284" t="s">
        <v>12</v>
      </c>
      <c r="E870" s="284" t="s">
        <v>797</v>
      </c>
      <c r="F870" s="286" t="s">
        <v>888</v>
      </c>
      <c r="G870" s="286">
        <v>10</v>
      </c>
    </row>
    <row r="871" spans="2:7" x14ac:dyDescent="0.25">
      <c r="B871" s="283" t="s">
        <v>961</v>
      </c>
      <c r="C871" s="284" t="s">
        <v>114</v>
      </c>
      <c r="D871" s="284" t="s">
        <v>12</v>
      </c>
      <c r="E871" s="284" t="s">
        <v>788</v>
      </c>
      <c r="F871" s="286" t="s">
        <v>889</v>
      </c>
      <c r="G871" s="286">
        <v>7</v>
      </c>
    </row>
    <row r="872" spans="2:7" x14ac:dyDescent="0.25">
      <c r="B872" s="283" t="s">
        <v>961</v>
      </c>
      <c r="C872" s="284" t="s">
        <v>114</v>
      </c>
      <c r="D872" s="284" t="s">
        <v>12</v>
      </c>
      <c r="E872" s="284" t="s">
        <v>788</v>
      </c>
      <c r="F872" s="286" t="s">
        <v>890</v>
      </c>
      <c r="G872" s="286">
        <v>5</v>
      </c>
    </row>
    <row r="873" spans="2:7" x14ac:dyDescent="0.25">
      <c r="B873" s="283" t="s">
        <v>961</v>
      </c>
      <c r="C873" s="284" t="s">
        <v>114</v>
      </c>
      <c r="D873" s="284" t="s">
        <v>12</v>
      </c>
      <c r="E873" s="284" t="s">
        <v>787</v>
      </c>
      <c r="F873" s="286" t="s">
        <v>891</v>
      </c>
      <c r="G873" s="286">
        <v>7</v>
      </c>
    </row>
    <row r="874" spans="2:7" x14ac:dyDescent="0.25">
      <c r="B874" s="283" t="s">
        <v>961</v>
      </c>
      <c r="C874" s="284" t="s">
        <v>114</v>
      </c>
      <c r="D874" s="284" t="s">
        <v>12</v>
      </c>
      <c r="E874" s="284" t="s">
        <v>787</v>
      </c>
      <c r="F874" s="286" t="s">
        <v>892</v>
      </c>
      <c r="G874" s="286">
        <v>5</v>
      </c>
    </row>
    <row r="875" spans="2:7" x14ac:dyDescent="0.25">
      <c r="B875" s="283" t="s">
        <v>961</v>
      </c>
      <c r="C875" s="284" t="s">
        <v>114</v>
      </c>
      <c r="D875" s="284" t="s">
        <v>12</v>
      </c>
      <c r="E875" s="284" t="s">
        <v>786</v>
      </c>
      <c r="F875" s="286" t="s">
        <v>893</v>
      </c>
      <c r="G875" s="286">
        <v>0</v>
      </c>
    </row>
    <row r="876" spans="2:7" x14ac:dyDescent="0.25">
      <c r="B876" s="283" t="s">
        <v>961</v>
      </c>
      <c r="C876" s="284" t="s">
        <v>114</v>
      </c>
      <c r="D876" s="284" t="s">
        <v>12</v>
      </c>
      <c r="E876" s="284" t="s">
        <v>786</v>
      </c>
      <c r="F876" s="286" t="s">
        <v>894</v>
      </c>
      <c r="G876" s="286">
        <v>5</v>
      </c>
    </row>
    <row r="877" spans="2:7" x14ac:dyDescent="0.25">
      <c r="B877" s="283" t="s">
        <v>961</v>
      </c>
      <c r="C877" s="284" t="s">
        <v>114</v>
      </c>
      <c r="D877" s="284" t="s">
        <v>34</v>
      </c>
      <c r="E877" s="285" t="s">
        <v>799</v>
      </c>
      <c r="F877" s="286" t="s">
        <v>895</v>
      </c>
      <c r="G877" s="286">
        <v>10</v>
      </c>
    </row>
    <row r="878" spans="2:7" x14ac:dyDescent="0.25">
      <c r="B878" s="283" t="s">
        <v>961</v>
      </c>
      <c r="C878" s="284" t="s">
        <v>114</v>
      </c>
      <c r="D878" s="284" t="s">
        <v>34</v>
      </c>
      <c r="E878" s="285" t="s">
        <v>799</v>
      </c>
      <c r="F878" s="286" t="s">
        <v>896</v>
      </c>
      <c r="G878" s="286">
        <v>10</v>
      </c>
    </row>
    <row r="879" spans="2:7" x14ac:dyDescent="0.25">
      <c r="B879" s="283" t="s">
        <v>961</v>
      </c>
      <c r="C879" s="284" t="s">
        <v>114</v>
      </c>
      <c r="D879" s="284" t="s">
        <v>41</v>
      </c>
      <c r="E879" s="285" t="s">
        <v>799</v>
      </c>
      <c r="F879" s="286" t="s">
        <v>897</v>
      </c>
      <c r="G879" s="286">
        <v>5</v>
      </c>
    </row>
    <row r="880" spans="2:7" x14ac:dyDescent="0.25">
      <c r="B880" s="283" t="s">
        <v>961</v>
      </c>
      <c r="C880" s="284" t="s">
        <v>114</v>
      </c>
      <c r="D880" s="284" t="s">
        <v>41</v>
      </c>
      <c r="E880" s="285" t="s">
        <v>799</v>
      </c>
      <c r="F880" s="286" t="s">
        <v>898</v>
      </c>
      <c r="G880" s="286">
        <v>5</v>
      </c>
    </row>
    <row r="881" spans="2:7" x14ac:dyDescent="0.25">
      <c r="B881" s="283" t="s">
        <v>961</v>
      </c>
      <c r="C881" s="284" t="s">
        <v>114</v>
      </c>
      <c r="D881" s="284" t="s">
        <v>46</v>
      </c>
      <c r="E881" s="285" t="s">
        <v>799</v>
      </c>
      <c r="F881" s="286" t="s">
        <v>899</v>
      </c>
      <c r="G881" s="286">
        <v>4</v>
      </c>
    </row>
  </sheetData>
  <phoneticPr fontId="3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1781A-8395-40E9-9429-400D998F1B28}">
  <sheetPr codeName="Sheet7">
    <tabColor rgb="FF92D050"/>
  </sheetPr>
  <dimension ref="A1:D346"/>
  <sheetViews>
    <sheetView topLeftCell="A334" workbookViewId="0">
      <selection activeCell="B350" sqref="B350"/>
    </sheetView>
  </sheetViews>
  <sheetFormatPr defaultRowHeight="16.5" x14ac:dyDescent="0.3"/>
  <cols>
    <col min="1" max="1" width="11" bestFit="1" customWidth="1"/>
    <col min="2" max="2" width="8.875" customWidth="1"/>
  </cols>
  <sheetData>
    <row r="1" spans="1:4" x14ac:dyDescent="0.3">
      <c r="A1" s="221" t="s">
        <v>800</v>
      </c>
      <c r="B1" s="221" t="s">
        <v>807</v>
      </c>
      <c r="C1" s="221" t="s">
        <v>632</v>
      </c>
      <c r="D1" s="221" t="s">
        <v>633</v>
      </c>
    </row>
    <row r="2" spans="1:4" hidden="1" x14ac:dyDescent="0.3">
      <c r="A2" s="222" t="s">
        <v>801</v>
      </c>
      <c r="B2" s="87" t="s">
        <v>554</v>
      </c>
      <c r="C2" s="175"/>
      <c r="D2" s="175">
        <v>1</v>
      </c>
    </row>
    <row r="3" spans="1:4" hidden="1" x14ac:dyDescent="0.3">
      <c r="A3" s="222" t="s">
        <v>801</v>
      </c>
      <c r="B3" s="87" t="s">
        <v>557</v>
      </c>
      <c r="C3" s="175">
        <v>1</v>
      </c>
      <c r="D3" s="175"/>
    </row>
    <row r="4" spans="1:4" hidden="1" x14ac:dyDescent="0.3">
      <c r="A4" s="222" t="s">
        <v>801</v>
      </c>
      <c r="B4" s="87" t="s">
        <v>559</v>
      </c>
      <c r="C4" s="175"/>
      <c r="D4" s="175"/>
    </row>
    <row r="5" spans="1:4" hidden="1" x14ac:dyDescent="0.3">
      <c r="A5" s="222" t="s">
        <v>801</v>
      </c>
      <c r="B5" s="87" t="s">
        <v>561</v>
      </c>
      <c r="C5" s="175"/>
      <c r="D5" s="175"/>
    </row>
    <row r="6" spans="1:4" hidden="1" x14ac:dyDescent="0.3">
      <c r="A6" s="222" t="s">
        <v>801</v>
      </c>
      <c r="B6" s="87" t="s">
        <v>563</v>
      </c>
      <c r="C6" s="175"/>
      <c r="D6" s="175"/>
    </row>
    <row r="7" spans="1:4" hidden="1" x14ac:dyDescent="0.3">
      <c r="A7" s="222" t="s">
        <v>801</v>
      </c>
      <c r="B7" s="87" t="s">
        <v>566</v>
      </c>
      <c r="C7" s="175"/>
      <c r="D7" s="175"/>
    </row>
    <row r="8" spans="1:4" hidden="1" x14ac:dyDescent="0.3">
      <c r="A8" s="222" t="s">
        <v>801</v>
      </c>
      <c r="B8" s="87" t="s">
        <v>568</v>
      </c>
      <c r="C8" s="175">
        <v>1</v>
      </c>
      <c r="D8" s="175"/>
    </row>
    <row r="9" spans="1:4" hidden="1" x14ac:dyDescent="0.3">
      <c r="A9" s="222" t="s">
        <v>801</v>
      </c>
      <c r="B9" s="87" t="s">
        <v>569</v>
      </c>
      <c r="C9" s="175"/>
      <c r="D9" s="175"/>
    </row>
    <row r="10" spans="1:4" hidden="1" x14ac:dyDescent="0.3">
      <c r="A10" s="222" t="s">
        <v>801</v>
      </c>
      <c r="B10" s="87" t="s">
        <v>570</v>
      </c>
      <c r="C10" s="175"/>
      <c r="D10" s="175">
        <v>1</v>
      </c>
    </row>
    <row r="11" spans="1:4" hidden="1" x14ac:dyDescent="0.3">
      <c r="A11" s="222" t="s">
        <v>801</v>
      </c>
      <c r="B11" s="87" t="s">
        <v>572</v>
      </c>
      <c r="C11" s="175"/>
      <c r="D11" s="175"/>
    </row>
    <row r="12" spans="1:4" hidden="1" x14ac:dyDescent="0.3">
      <c r="A12" s="222" t="s">
        <v>801</v>
      </c>
      <c r="B12" s="87" t="s">
        <v>573</v>
      </c>
      <c r="C12" s="175"/>
      <c r="D12" s="175"/>
    </row>
    <row r="13" spans="1:4" hidden="1" x14ac:dyDescent="0.3">
      <c r="A13" s="222" t="s">
        <v>801</v>
      </c>
      <c r="B13" s="87" t="s">
        <v>574</v>
      </c>
      <c r="C13" s="175"/>
      <c r="D13" s="175"/>
    </row>
    <row r="14" spans="1:4" hidden="1" x14ac:dyDescent="0.3">
      <c r="A14" s="222" t="s">
        <v>801</v>
      </c>
      <c r="B14" s="87" t="s">
        <v>575</v>
      </c>
      <c r="C14" s="175"/>
      <c r="D14" s="175"/>
    </row>
    <row r="15" spans="1:4" hidden="1" x14ac:dyDescent="0.3">
      <c r="A15" s="222" t="s">
        <v>801</v>
      </c>
      <c r="B15" s="87" t="s">
        <v>576</v>
      </c>
      <c r="C15" s="175"/>
      <c r="D15" s="175"/>
    </row>
    <row r="16" spans="1:4" hidden="1" x14ac:dyDescent="0.3">
      <c r="A16" s="222" t="s">
        <v>801</v>
      </c>
      <c r="B16" s="87" t="s">
        <v>577</v>
      </c>
      <c r="C16" s="175"/>
      <c r="D16" s="175"/>
    </row>
    <row r="17" spans="1:4" hidden="1" x14ac:dyDescent="0.3">
      <c r="A17" s="222" t="s">
        <v>801</v>
      </c>
      <c r="B17" s="87" t="s">
        <v>578</v>
      </c>
      <c r="C17" s="175"/>
      <c r="D17" s="175"/>
    </row>
    <row r="18" spans="1:4" hidden="1" x14ac:dyDescent="0.3">
      <c r="A18" s="222" t="s">
        <v>801</v>
      </c>
      <c r="B18" s="87" t="s">
        <v>579</v>
      </c>
      <c r="C18" s="175"/>
      <c r="D18" s="175"/>
    </row>
    <row r="19" spans="1:4" hidden="1" x14ac:dyDescent="0.3">
      <c r="A19" s="222" t="s">
        <v>801</v>
      </c>
      <c r="B19" s="87" t="s">
        <v>580</v>
      </c>
      <c r="C19" s="175"/>
      <c r="D19" s="175"/>
    </row>
    <row r="20" spans="1:4" hidden="1" x14ac:dyDescent="0.3">
      <c r="A20" s="222" t="s">
        <v>801</v>
      </c>
      <c r="B20" s="87" t="s">
        <v>581</v>
      </c>
      <c r="C20" s="175"/>
      <c r="D20" s="175"/>
    </row>
    <row r="21" spans="1:4" hidden="1" x14ac:dyDescent="0.3">
      <c r="A21" s="222" t="s">
        <v>801</v>
      </c>
      <c r="B21" s="87" t="s">
        <v>582</v>
      </c>
      <c r="C21" s="175"/>
      <c r="D21" s="175"/>
    </row>
    <row r="22" spans="1:4" hidden="1" x14ac:dyDescent="0.3">
      <c r="A22" s="222" t="s">
        <v>801</v>
      </c>
      <c r="B22" s="87" t="s">
        <v>583</v>
      </c>
      <c r="C22" s="175"/>
      <c r="D22" s="175"/>
    </row>
    <row r="23" spans="1:4" hidden="1" x14ac:dyDescent="0.3">
      <c r="A23" s="222" t="s">
        <v>801</v>
      </c>
      <c r="B23" s="87" t="s">
        <v>584</v>
      </c>
      <c r="C23" s="175"/>
      <c r="D23" s="175"/>
    </row>
    <row r="24" spans="1:4" hidden="1" x14ac:dyDescent="0.3">
      <c r="A24" s="222" t="s">
        <v>801</v>
      </c>
      <c r="B24" s="87" t="s">
        <v>585</v>
      </c>
      <c r="C24" s="175"/>
      <c r="D24" s="175"/>
    </row>
    <row r="25" spans="1:4" hidden="1" x14ac:dyDescent="0.3">
      <c r="A25" s="222" t="s">
        <v>801</v>
      </c>
      <c r="B25" s="87" t="s">
        <v>586</v>
      </c>
      <c r="C25" s="175"/>
      <c r="D25" s="175"/>
    </row>
    <row r="26" spans="1:4" hidden="1" x14ac:dyDescent="0.3">
      <c r="A26" s="222" t="s">
        <v>801</v>
      </c>
      <c r="B26" s="87" t="s">
        <v>587</v>
      </c>
      <c r="C26" s="175"/>
      <c r="D26" s="175"/>
    </row>
    <row r="27" spans="1:4" hidden="1" x14ac:dyDescent="0.3">
      <c r="A27" s="222" t="s">
        <v>801</v>
      </c>
      <c r="B27" s="87" t="s">
        <v>588</v>
      </c>
      <c r="C27" s="175"/>
      <c r="D27" s="175"/>
    </row>
    <row r="28" spans="1:4" hidden="1" x14ac:dyDescent="0.3">
      <c r="A28" s="222" t="s">
        <v>801</v>
      </c>
      <c r="B28" s="87" t="s">
        <v>589</v>
      </c>
      <c r="C28" s="175"/>
      <c r="D28" s="175"/>
    </row>
    <row r="29" spans="1:4" hidden="1" x14ac:dyDescent="0.3">
      <c r="A29" s="222" t="s">
        <v>801</v>
      </c>
      <c r="B29" s="87" t="s">
        <v>590</v>
      </c>
      <c r="C29" s="175"/>
      <c r="D29" s="175"/>
    </row>
    <row r="30" spans="1:4" hidden="1" x14ac:dyDescent="0.3">
      <c r="A30" s="222" t="s">
        <v>801</v>
      </c>
      <c r="B30" s="87" t="s">
        <v>591</v>
      </c>
      <c r="C30" s="175"/>
      <c r="D30" s="175"/>
    </row>
    <row r="31" spans="1:4" hidden="1" x14ac:dyDescent="0.3">
      <c r="A31" s="222" t="s">
        <v>801</v>
      </c>
      <c r="B31" s="87" t="s">
        <v>592</v>
      </c>
      <c r="C31" s="175"/>
      <c r="D31" s="175"/>
    </row>
    <row r="32" spans="1:4" hidden="1" x14ac:dyDescent="0.3">
      <c r="A32" s="222" t="s">
        <v>801</v>
      </c>
      <c r="B32" s="87" t="s">
        <v>593</v>
      </c>
      <c r="C32" s="175"/>
      <c r="D32" s="175"/>
    </row>
    <row r="33" spans="1:4" hidden="1" x14ac:dyDescent="0.3">
      <c r="A33" s="222" t="s">
        <v>801</v>
      </c>
      <c r="B33" s="87" t="s">
        <v>594</v>
      </c>
      <c r="C33" s="175"/>
      <c r="D33" s="175"/>
    </row>
    <row r="34" spans="1:4" hidden="1" x14ac:dyDescent="0.3">
      <c r="A34" s="222" t="s">
        <v>801</v>
      </c>
      <c r="B34" s="87" t="s">
        <v>595</v>
      </c>
      <c r="C34" s="175"/>
      <c r="D34" s="175"/>
    </row>
    <row r="35" spans="1:4" hidden="1" x14ac:dyDescent="0.3">
      <c r="A35" s="222" t="s">
        <v>801</v>
      </c>
      <c r="B35" s="87" t="s">
        <v>596</v>
      </c>
      <c r="C35" s="175"/>
      <c r="D35" s="175"/>
    </row>
    <row r="36" spans="1:4" hidden="1" x14ac:dyDescent="0.3">
      <c r="A36" s="222" t="s">
        <v>801</v>
      </c>
      <c r="B36" s="87" t="s">
        <v>597</v>
      </c>
      <c r="C36" s="175"/>
      <c r="D36" s="175">
        <v>1</v>
      </c>
    </row>
    <row r="37" spans="1:4" hidden="1" x14ac:dyDescent="0.3">
      <c r="A37" s="222" t="s">
        <v>801</v>
      </c>
      <c r="B37" s="87" t="s">
        <v>598</v>
      </c>
      <c r="C37" s="175"/>
      <c r="D37" s="175"/>
    </row>
    <row r="38" spans="1:4" hidden="1" x14ac:dyDescent="0.3">
      <c r="A38" s="222" t="s">
        <v>801</v>
      </c>
      <c r="B38" s="87" t="s">
        <v>599</v>
      </c>
      <c r="C38" s="175"/>
      <c r="D38" s="175"/>
    </row>
    <row r="39" spans="1:4" hidden="1" x14ac:dyDescent="0.3">
      <c r="A39" s="222" t="s">
        <v>801</v>
      </c>
      <c r="B39" s="87" t="s">
        <v>600</v>
      </c>
      <c r="C39" s="175"/>
      <c r="D39" s="175"/>
    </row>
    <row r="40" spans="1:4" hidden="1" x14ac:dyDescent="0.3">
      <c r="A40" s="222" t="s">
        <v>801</v>
      </c>
      <c r="B40" s="87" t="s">
        <v>601</v>
      </c>
      <c r="C40" s="175"/>
      <c r="D40" s="175"/>
    </row>
    <row r="41" spans="1:4" hidden="1" x14ac:dyDescent="0.3">
      <c r="A41" s="222" t="s">
        <v>801</v>
      </c>
      <c r="B41" s="87" t="s">
        <v>602</v>
      </c>
      <c r="C41" s="175"/>
      <c r="D41" s="175"/>
    </row>
    <row r="42" spans="1:4" hidden="1" x14ac:dyDescent="0.3">
      <c r="A42" s="222" t="s">
        <v>801</v>
      </c>
      <c r="B42" s="87" t="s">
        <v>603</v>
      </c>
      <c r="C42" s="175"/>
      <c r="D42" s="175"/>
    </row>
    <row r="43" spans="1:4" hidden="1" x14ac:dyDescent="0.3">
      <c r="A43" s="222" t="s">
        <v>801</v>
      </c>
      <c r="B43" s="87" t="s">
        <v>604</v>
      </c>
      <c r="C43" s="175"/>
      <c r="D43" s="175">
        <v>1</v>
      </c>
    </row>
    <row r="44" spans="1:4" hidden="1" x14ac:dyDescent="0.3">
      <c r="A44" s="222" t="s">
        <v>801</v>
      </c>
      <c r="B44" s="87" t="s">
        <v>605</v>
      </c>
      <c r="C44" s="175"/>
      <c r="D44" s="175"/>
    </row>
    <row r="45" spans="1:4" hidden="1" x14ac:dyDescent="0.3">
      <c r="A45" s="222" t="s">
        <v>801</v>
      </c>
      <c r="B45" s="87" t="s">
        <v>606</v>
      </c>
      <c r="C45" s="175"/>
      <c r="D45" s="175"/>
    </row>
    <row r="46" spans="1:4" hidden="1" x14ac:dyDescent="0.3">
      <c r="A46" s="222" t="s">
        <v>801</v>
      </c>
      <c r="B46" s="87" t="s">
        <v>607</v>
      </c>
      <c r="C46" s="175"/>
      <c r="D46" s="175"/>
    </row>
    <row r="47" spans="1:4" hidden="1" x14ac:dyDescent="0.3">
      <c r="A47" s="222" t="s">
        <v>801</v>
      </c>
      <c r="B47" s="87" t="s">
        <v>608</v>
      </c>
      <c r="C47" s="175"/>
      <c r="D47" s="175"/>
    </row>
    <row r="48" spans="1:4" hidden="1" x14ac:dyDescent="0.3">
      <c r="A48" s="222" t="s">
        <v>801</v>
      </c>
      <c r="B48" s="87" t="s">
        <v>609</v>
      </c>
      <c r="C48" s="175"/>
      <c r="D48" s="175"/>
    </row>
    <row r="49" spans="1:4" hidden="1" x14ac:dyDescent="0.3">
      <c r="A49" s="222" t="s">
        <v>801</v>
      </c>
      <c r="B49" s="87" t="s">
        <v>610</v>
      </c>
      <c r="C49" s="175"/>
      <c r="D49" s="175"/>
    </row>
    <row r="50" spans="1:4" hidden="1" x14ac:dyDescent="0.3">
      <c r="A50" s="222" t="s">
        <v>801</v>
      </c>
      <c r="B50" s="87" t="s">
        <v>611</v>
      </c>
      <c r="C50" s="175"/>
      <c r="D50" s="175"/>
    </row>
    <row r="51" spans="1:4" hidden="1" x14ac:dyDescent="0.3">
      <c r="A51" s="222" t="s">
        <v>801</v>
      </c>
      <c r="B51" s="87" t="s">
        <v>612</v>
      </c>
      <c r="C51" s="175"/>
      <c r="D51" s="175"/>
    </row>
    <row r="52" spans="1:4" hidden="1" x14ac:dyDescent="0.3">
      <c r="A52" s="222" t="s">
        <v>801</v>
      </c>
      <c r="B52" s="87" t="s">
        <v>613</v>
      </c>
      <c r="C52" s="175"/>
      <c r="D52" s="175"/>
    </row>
    <row r="53" spans="1:4" hidden="1" x14ac:dyDescent="0.3">
      <c r="A53" s="222" t="s">
        <v>801</v>
      </c>
      <c r="B53" s="87" t="s">
        <v>614</v>
      </c>
      <c r="C53" s="175"/>
      <c r="D53" s="175"/>
    </row>
    <row r="54" spans="1:4" hidden="1" x14ac:dyDescent="0.3">
      <c r="A54" s="222" t="s">
        <v>801</v>
      </c>
      <c r="B54" s="87" t="s">
        <v>615</v>
      </c>
      <c r="C54" s="175"/>
      <c r="D54" s="175"/>
    </row>
    <row r="55" spans="1:4" hidden="1" x14ac:dyDescent="0.3">
      <c r="A55" s="222" t="s">
        <v>801</v>
      </c>
      <c r="B55" s="87" t="s">
        <v>616</v>
      </c>
      <c r="C55" s="175"/>
      <c r="D55" s="175"/>
    </row>
    <row r="56" spans="1:4" hidden="1" x14ac:dyDescent="0.3">
      <c r="A56" s="222" t="s">
        <v>801</v>
      </c>
      <c r="B56" s="87" t="s">
        <v>617</v>
      </c>
      <c r="C56" s="175"/>
      <c r="D56" s="175"/>
    </row>
    <row r="57" spans="1:4" hidden="1" x14ac:dyDescent="0.3">
      <c r="A57" s="222" t="s">
        <v>801</v>
      </c>
      <c r="B57" s="87" t="s">
        <v>618</v>
      </c>
      <c r="C57" s="175"/>
      <c r="D57" s="175"/>
    </row>
    <row r="58" spans="1:4" hidden="1" x14ac:dyDescent="0.3">
      <c r="A58" s="222" t="s">
        <v>801</v>
      </c>
      <c r="B58" s="87" t="s">
        <v>619</v>
      </c>
      <c r="C58" s="175"/>
      <c r="D58" s="175"/>
    </row>
    <row r="59" spans="1:4" hidden="1" x14ac:dyDescent="0.3">
      <c r="A59" s="222" t="s">
        <v>801</v>
      </c>
      <c r="B59" s="87" t="s">
        <v>620</v>
      </c>
      <c r="C59" s="175"/>
      <c r="D59" s="175"/>
    </row>
    <row r="60" spans="1:4" hidden="1" x14ac:dyDescent="0.3">
      <c r="A60" s="222" t="s">
        <v>801</v>
      </c>
      <c r="B60" s="87" t="s">
        <v>621</v>
      </c>
      <c r="C60" s="175"/>
      <c r="D60" s="175"/>
    </row>
    <row r="61" spans="1:4" hidden="1" x14ac:dyDescent="0.3">
      <c r="A61" s="222" t="s">
        <v>801</v>
      </c>
      <c r="B61" s="87" t="s">
        <v>622</v>
      </c>
      <c r="C61" s="175"/>
      <c r="D61" s="175"/>
    </row>
    <row r="62" spans="1:4" hidden="1" x14ac:dyDescent="0.3">
      <c r="A62" s="222" t="s">
        <v>801</v>
      </c>
      <c r="B62" s="87" t="s">
        <v>623</v>
      </c>
      <c r="C62" s="175"/>
      <c r="D62" s="175"/>
    </row>
    <row r="63" spans="1:4" hidden="1" x14ac:dyDescent="0.3">
      <c r="A63" s="222" t="s">
        <v>801</v>
      </c>
      <c r="B63" s="87" t="s">
        <v>624</v>
      </c>
      <c r="C63" s="175"/>
      <c r="D63" s="175"/>
    </row>
    <row r="64" spans="1:4" hidden="1" x14ac:dyDescent="0.3">
      <c r="A64" s="222" t="s">
        <v>801</v>
      </c>
      <c r="B64" s="87" t="s">
        <v>625</v>
      </c>
      <c r="C64" s="175"/>
      <c r="D64" s="175"/>
    </row>
    <row r="65" spans="1:4" hidden="1" x14ac:dyDescent="0.3">
      <c r="A65" s="222" t="s">
        <v>801</v>
      </c>
      <c r="B65" s="87" t="s">
        <v>626</v>
      </c>
      <c r="C65" s="175"/>
      <c r="D65" s="175"/>
    </row>
    <row r="66" spans="1:4" hidden="1" x14ac:dyDescent="0.3">
      <c r="A66" s="222" t="s">
        <v>801</v>
      </c>
      <c r="B66" s="87" t="s">
        <v>627</v>
      </c>
      <c r="C66" s="175"/>
      <c r="D66" s="175"/>
    </row>
    <row r="67" spans="1:4" hidden="1" x14ac:dyDescent="0.3">
      <c r="A67" s="222" t="s">
        <v>801</v>
      </c>
      <c r="B67" s="87" t="s">
        <v>628</v>
      </c>
      <c r="C67" s="175"/>
      <c r="D67" s="175"/>
    </row>
    <row r="68" spans="1:4" hidden="1" x14ac:dyDescent="0.3">
      <c r="A68" s="222" t="s">
        <v>801</v>
      </c>
      <c r="B68" s="87" t="s">
        <v>629</v>
      </c>
      <c r="C68" s="175"/>
      <c r="D68" s="175"/>
    </row>
    <row r="69" spans="1:4" hidden="1" x14ac:dyDescent="0.3">
      <c r="A69" s="222" t="s">
        <v>801</v>
      </c>
      <c r="B69" s="87" t="s">
        <v>630</v>
      </c>
      <c r="C69" s="175"/>
      <c r="D69" s="175"/>
    </row>
    <row r="70" spans="1:4" hidden="1" x14ac:dyDescent="0.3">
      <c r="A70" s="222" t="s">
        <v>801</v>
      </c>
      <c r="B70" s="84" t="s">
        <v>631</v>
      </c>
      <c r="C70" s="175"/>
      <c r="D70" s="175"/>
    </row>
    <row r="71" spans="1:4" hidden="1" x14ac:dyDescent="0.3">
      <c r="A71" s="222" t="s">
        <v>911</v>
      </c>
      <c r="B71" s="87" t="s">
        <v>554</v>
      </c>
      <c r="C71" s="175"/>
      <c r="D71" s="175"/>
    </row>
    <row r="72" spans="1:4" hidden="1" x14ac:dyDescent="0.3">
      <c r="A72" s="222" t="s">
        <v>911</v>
      </c>
      <c r="B72" s="86" t="s">
        <v>557</v>
      </c>
      <c r="C72" s="175">
        <v>1</v>
      </c>
      <c r="D72" s="175">
        <v>1</v>
      </c>
    </row>
    <row r="73" spans="1:4" hidden="1" x14ac:dyDescent="0.3">
      <c r="A73" s="222" t="s">
        <v>911</v>
      </c>
      <c r="B73" s="86" t="s">
        <v>559</v>
      </c>
      <c r="C73" s="175"/>
      <c r="D73" s="175"/>
    </row>
    <row r="74" spans="1:4" hidden="1" x14ac:dyDescent="0.3">
      <c r="A74" s="222" t="s">
        <v>911</v>
      </c>
      <c r="B74" s="86" t="s">
        <v>561</v>
      </c>
      <c r="C74" s="175"/>
      <c r="D74" s="175"/>
    </row>
    <row r="75" spans="1:4" hidden="1" x14ac:dyDescent="0.3">
      <c r="A75" s="222" t="s">
        <v>911</v>
      </c>
      <c r="B75" s="86" t="s">
        <v>563</v>
      </c>
      <c r="C75" s="175"/>
      <c r="D75" s="175"/>
    </row>
    <row r="76" spans="1:4" hidden="1" x14ac:dyDescent="0.3">
      <c r="A76" s="222" t="s">
        <v>911</v>
      </c>
      <c r="B76" s="86" t="s">
        <v>566</v>
      </c>
      <c r="C76" s="175"/>
      <c r="D76" s="175"/>
    </row>
    <row r="77" spans="1:4" hidden="1" x14ac:dyDescent="0.3">
      <c r="A77" s="222" t="s">
        <v>911</v>
      </c>
      <c r="B77" s="86" t="s">
        <v>568</v>
      </c>
      <c r="C77" s="175"/>
      <c r="D77" s="175"/>
    </row>
    <row r="78" spans="1:4" hidden="1" x14ac:dyDescent="0.3">
      <c r="A78" s="222" t="s">
        <v>911</v>
      </c>
      <c r="B78" s="86" t="s">
        <v>569</v>
      </c>
      <c r="C78" s="175"/>
      <c r="D78" s="175"/>
    </row>
    <row r="79" spans="1:4" hidden="1" x14ac:dyDescent="0.3">
      <c r="A79" s="222" t="s">
        <v>911</v>
      </c>
      <c r="B79" s="86" t="s">
        <v>570</v>
      </c>
      <c r="C79" s="175"/>
      <c r="D79" s="175"/>
    </row>
    <row r="80" spans="1:4" hidden="1" x14ac:dyDescent="0.3">
      <c r="A80" s="222" t="s">
        <v>911</v>
      </c>
      <c r="B80" s="86" t="s">
        <v>572</v>
      </c>
      <c r="C80" s="175"/>
      <c r="D80" s="175"/>
    </row>
    <row r="81" spans="1:4" hidden="1" x14ac:dyDescent="0.3">
      <c r="A81" s="222" t="s">
        <v>911</v>
      </c>
      <c r="B81" s="86" t="s">
        <v>573</v>
      </c>
      <c r="C81" s="175"/>
      <c r="D81" s="175"/>
    </row>
    <row r="82" spans="1:4" hidden="1" x14ac:dyDescent="0.3">
      <c r="A82" s="222" t="s">
        <v>911</v>
      </c>
      <c r="B82" s="86" t="s">
        <v>574</v>
      </c>
      <c r="C82" s="175"/>
      <c r="D82" s="175"/>
    </row>
    <row r="83" spans="1:4" hidden="1" x14ac:dyDescent="0.3">
      <c r="A83" s="222" t="s">
        <v>911</v>
      </c>
      <c r="B83" s="86" t="s">
        <v>575</v>
      </c>
      <c r="C83" s="175"/>
      <c r="D83" s="175"/>
    </row>
    <row r="84" spans="1:4" hidden="1" x14ac:dyDescent="0.3">
      <c r="A84" s="222" t="s">
        <v>911</v>
      </c>
      <c r="B84" s="86" t="s">
        <v>576</v>
      </c>
      <c r="C84" s="175"/>
      <c r="D84" s="175"/>
    </row>
    <row r="85" spans="1:4" hidden="1" x14ac:dyDescent="0.3">
      <c r="A85" s="222" t="s">
        <v>911</v>
      </c>
      <c r="B85" s="86" t="s">
        <v>577</v>
      </c>
      <c r="C85" s="175"/>
      <c r="D85" s="175"/>
    </row>
    <row r="86" spans="1:4" hidden="1" x14ac:dyDescent="0.3">
      <c r="A86" s="222" t="s">
        <v>911</v>
      </c>
      <c r="B86" s="86" t="s">
        <v>578</v>
      </c>
      <c r="C86" s="175"/>
      <c r="D86" s="175"/>
    </row>
    <row r="87" spans="1:4" hidden="1" x14ac:dyDescent="0.3">
      <c r="A87" s="222" t="s">
        <v>911</v>
      </c>
      <c r="B87" s="86" t="s">
        <v>579</v>
      </c>
      <c r="C87" s="175"/>
      <c r="D87" s="175"/>
    </row>
    <row r="88" spans="1:4" hidden="1" x14ac:dyDescent="0.3">
      <c r="A88" s="222" t="s">
        <v>911</v>
      </c>
      <c r="B88" s="86" t="s">
        <v>580</v>
      </c>
      <c r="C88" s="175"/>
      <c r="D88" s="175"/>
    </row>
    <row r="89" spans="1:4" hidden="1" x14ac:dyDescent="0.3">
      <c r="A89" s="222" t="s">
        <v>911</v>
      </c>
      <c r="B89" s="86" t="s">
        <v>581</v>
      </c>
      <c r="C89" s="175"/>
      <c r="D89" s="175"/>
    </row>
    <row r="90" spans="1:4" hidden="1" x14ac:dyDescent="0.3">
      <c r="A90" s="222" t="s">
        <v>911</v>
      </c>
      <c r="B90" s="86" t="s">
        <v>582</v>
      </c>
      <c r="C90" s="175"/>
      <c r="D90" s="175"/>
    </row>
    <row r="91" spans="1:4" hidden="1" x14ac:dyDescent="0.3">
      <c r="A91" s="222" t="s">
        <v>911</v>
      </c>
      <c r="B91" s="86" t="s">
        <v>583</v>
      </c>
      <c r="C91" s="175"/>
      <c r="D91" s="175"/>
    </row>
    <row r="92" spans="1:4" hidden="1" x14ac:dyDescent="0.3">
      <c r="A92" s="222" t="s">
        <v>911</v>
      </c>
      <c r="B92" s="86" t="s">
        <v>584</v>
      </c>
      <c r="C92" s="175"/>
      <c r="D92" s="175"/>
    </row>
    <row r="93" spans="1:4" hidden="1" x14ac:dyDescent="0.3">
      <c r="A93" s="222" t="s">
        <v>911</v>
      </c>
      <c r="B93" s="86" t="s">
        <v>585</v>
      </c>
      <c r="C93" s="175"/>
      <c r="D93" s="175"/>
    </row>
    <row r="94" spans="1:4" hidden="1" x14ac:dyDescent="0.3">
      <c r="A94" s="222" t="s">
        <v>911</v>
      </c>
      <c r="B94" s="86" t="s">
        <v>586</v>
      </c>
      <c r="C94" s="175"/>
      <c r="D94" s="175"/>
    </row>
    <row r="95" spans="1:4" hidden="1" x14ac:dyDescent="0.3">
      <c r="A95" s="222" t="s">
        <v>911</v>
      </c>
      <c r="B95" s="86" t="s">
        <v>587</v>
      </c>
      <c r="C95" s="175"/>
      <c r="D95" s="175"/>
    </row>
    <row r="96" spans="1:4" hidden="1" x14ac:dyDescent="0.3">
      <c r="A96" s="222" t="s">
        <v>911</v>
      </c>
      <c r="B96" s="86" t="s">
        <v>588</v>
      </c>
      <c r="C96" s="175"/>
      <c r="D96" s="175"/>
    </row>
    <row r="97" spans="1:4" hidden="1" x14ac:dyDescent="0.3">
      <c r="A97" s="222" t="s">
        <v>911</v>
      </c>
      <c r="B97" s="86" t="s">
        <v>589</v>
      </c>
      <c r="C97" s="175"/>
      <c r="D97" s="175"/>
    </row>
    <row r="98" spans="1:4" hidden="1" x14ac:dyDescent="0.3">
      <c r="A98" s="222" t="s">
        <v>911</v>
      </c>
      <c r="B98" s="86" t="s">
        <v>590</v>
      </c>
      <c r="C98" s="175"/>
      <c r="D98" s="175"/>
    </row>
    <row r="99" spans="1:4" hidden="1" x14ac:dyDescent="0.3">
      <c r="A99" s="222" t="s">
        <v>911</v>
      </c>
      <c r="B99" s="86" t="s">
        <v>591</v>
      </c>
      <c r="C99" s="175"/>
      <c r="D99" s="175"/>
    </row>
    <row r="100" spans="1:4" hidden="1" x14ac:dyDescent="0.3">
      <c r="A100" s="222" t="s">
        <v>911</v>
      </c>
      <c r="B100" s="86" t="s">
        <v>592</v>
      </c>
      <c r="C100" s="175"/>
      <c r="D100" s="175"/>
    </row>
    <row r="101" spans="1:4" hidden="1" x14ac:dyDescent="0.3">
      <c r="A101" s="222" t="s">
        <v>911</v>
      </c>
      <c r="B101" s="86" t="s">
        <v>593</v>
      </c>
      <c r="C101" s="175"/>
      <c r="D101" s="175"/>
    </row>
    <row r="102" spans="1:4" hidden="1" x14ac:dyDescent="0.3">
      <c r="A102" s="222" t="s">
        <v>911</v>
      </c>
      <c r="B102" s="86" t="s">
        <v>594</v>
      </c>
      <c r="C102" s="175"/>
      <c r="D102" s="175"/>
    </row>
    <row r="103" spans="1:4" hidden="1" x14ac:dyDescent="0.3">
      <c r="A103" s="222" t="s">
        <v>911</v>
      </c>
      <c r="B103" s="86" t="s">
        <v>595</v>
      </c>
      <c r="C103" s="175"/>
      <c r="D103" s="175"/>
    </row>
    <row r="104" spans="1:4" hidden="1" x14ac:dyDescent="0.3">
      <c r="A104" s="222" t="s">
        <v>911</v>
      </c>
      <c r="B104" s="86" t="s">
        <v>596</v>
      </c>
      <c r="C104" s="175"/>
      <c r="D104" s="175"/>
    </row>
    <row r="105" spans="1:4" hidden="1" x14ac:dyDescent="0.3">
      <c r="A105" s="222" t="s">
        <v>911</v>
      </c>
      <c r="B105" s="86" t="s">
        <v>597</v>
      </c>
      <c r="C105" s="175"/>
      <c r="D105" s="175"/>
    </row>
    <row r="106" spans="1:4" hidden="1" x14ac:dyDescent="0.3">
      <c r="A106" s="222" t="s">
        <v>911</v>
      </c>
      <c r="B106" s="86" t="s">
        <v>598</v>
      </c>
      <c r="C106" s="175"/>
      <c r="D106" s="175"/>
    </row>
    <row r="107" spans="1:4" hidden="1" x14ac:dyDescent="0.3">
      <c r="A107" s="222" t="s">
        <v>911</v>
      </c>
      <c r="B107" s="86" t="s">
        <v>599</v>
      </c>
      <c r="C107" s="175"/>
      <c r="D107" s="175"/>
    </row>
    <row r="108" spans="1:4" hidden="1" x14ac:dyDescent="0.3">
      <c r="A108" s="222" t="s">
        <v>911</v>
      </c>
      <c r="B108" s="86" t="s">
        <v>600</v>
      </c>
      <c r="C108" s="175"/>
      <c r="D108" s="175"/>
    </row>
    <row r="109" spans="1:4" hidden="1" x14ac:dyDescent="0.3">
      <c r="A109" s="222" t="s">
        <v>911</v>
      </c>
      <c r="B109" s="86" t="s">
        <v>601</v>
      </c>
      <c r="C109" s="175"/>
      <c r="D109" s="175"/>
    </row>
    <row r="110" spans="1:4" hidden="1" x14ac:dyDescent="0.3">
      <c r="A110" s="222" t="s">
        <v>911</v>
      </c>
      <c r="B110" s="86" t="s">
        <v>602</v>
      </c>
      <c r="C110" s="175"/>
      <c r="D110" s="175"/>
    </row>
    <row r="111" spans="1:4" hidden="1" x14ac:dyDescent="0.3">
      <c r="A111" s="222" t="s">
        <v>911</v>
      </c>
      <c r="B111" s="86" t="s">
        <v>603</v>
      </c>
      <c r="C111" s="175"/>
      <c r="D111" s="175"/>
    </row>
    <row r="112" spans="1:4" hidden="1" x14ac:dyDescent="0.3">
      <c r="A112" s="222" t="s">
        <v>911</v>
      </c>
      <c r="B112" s="86" t="s">
        <v>604</v>
      </c>
      <c r="C112" s="175"/>
      <c r="D112" s="175"/>
    </row>
    <row r="113" spans="1:4" hidden="1" x14ac:dyDescent="0.3">
      <c r="A113" s="222" t="s">
        <v>911</v>
      </c>
      <c r="B113" s="86" t="s">
        <v>605</v>
      </c>
      <c r="C113" s="175"/>
      <c r="D113" s="175"/>
    </row>
    <row r="114" spans="1:4" hidden="1" x14ac:dyDescent="0.3">
      <c r="A114" s="222" t="s">
        <v>911</v>
      </c>
      <c r="B114" s="86" t="s">
        <v>606</v>
      </c>
      <c r="C114" s="175"/>
      <c r="D114" s="175"/>
    </row>
    <row r="115" spans="1:4" hidden="1" x14ac:dyDescent="0.3">
      <c r="A115" s="222" t="s">
        <v>911</v>
      </c>
      <c r="B115" s="86" t="s">
        <v>607</v>
      </c>
      <c r="C115" s="175"/>
      <c r="D115" s="175"/>
    </row>
    <row r="116" spans="1:4" hidden="1" x14ac:dyDescent="0.3">
      <c r="A116" s="222" t="s">
        <v>911</v>
      </c>
      <c r="B116" s="86" t="s">
        <v>608</v>
      </c>
      <c r="C116" s="175"/>
      <c r="D116" s="175"/>
    </row>
    <row r="117" spans="1:4" hidden="1" x14ac:dyDescent="0.3">
      <c r="A117" s="222" t="s">
        <v>911</v>
      </c>
      <c r="B117" s="86" t="s">
        <v>609</v>
      </c>
      <c r="C117" s="175"/>
      <c r="D117" s="175"/>
    </row>
    <row r="118" spans="1:4" hidden="1" x14ac:dyDescent="0.3">
      <c r="A118" s="222" t="s">
        <v>911</v>
      </c>
      <c r="B118" s="86" t="s">
        <v>610</v>
      </c>
      <c r="C118" s="175"/>
      <c r="D118" s="175"/>
    </row>
    <row r="119" spans="1:4" hidden="1" x14ac:dyDescent="0.3">
      <c r="A119" s="222" t="s">
        <v>911</v>
      </c>
      <c r="B119" s="86" t="s">
        <v>611</v>
      </c>
      <c r="C119" s="175"/>
      <c r="D119" s="175"/>
    </row>
    <row r="120" spans="1:4" hidden="1" x14ac:dyDescent="0.3">
      <c r="A120" s="222" t="s">
        <v>911</v>
      </c>
      <c r="B120" s="86" t="s">
        <v>612</v>
      </c>
      <c r="C120" s="175"/>
      <c r="D120" s="175"/>
    </row>
    <row r="121" spans="1:4" hidden="1" x14ac:dyDescent="0.3">
      <c r="A121" s="222" t="s">
        <v>911</v>
      </c>
      <c r="B121" s="86" t="s">
        <v>613</v>
      </c>
      <c r="C121" s="175"/>
      <c r="D121" s="175"/>
    </row>
    <row r="122" spans="1:4" hidden="1" x14ac:dyDescent="0.3">
      <c r="A122" s="222" t="s">
        <v>911</v>
      </c>
      <c r="B122" s="86" t="s">
        <v>614</v>
      </c>
      <c r="C122" s="175"/>
      <c r="D122" s="175"/>
    </row>
    <row r="123" spans="1:4" hidden="1" x14ac:dyDescent="0.3">
      <c r="A123" s="222" t="s">
        <v>911</v>
      </c>
      <c r="B123" s="86" t="s">
        <v>615</v>
      </c>
      <c r="C123" s="175"/>
      <c r="D123" s="175"/>
    </row>
    <row r="124" spans="1:4" hidden="1" x14ac:dyDescent="0.3">
      <c r="A124" s="222" t="s">
        <v>911</v>
      </c>
      <c r="B124" s="86" t="s">
        <v>616</v>
      </c>
      <c r="C124" s="175"/>
      <c r="D124" s="175"/>
    </row>
    <row r="125" spans="1:4" hidden="1" x14ac:dyDescent="0.3">
      <c r="A125" s="222" t="s">
        <v>911</v>
      </c>
      <c r="B125" s="86" t="s">
        <v>617</v>
      </c>
      <c r="C125" s="175"/>
      <c r="D125" s="175"/>
    </row>
    <row r="126" spans="1:4" hidden="1" x14ac:dyDescent="0.3">
      <c r="A126" s="222" t="s">
        <v>911</v>
      </c>
      <c r="B126" s="86" t="s">
        <v>618</v>
      </c>
      <c r="C126" s="175"/>
      <c r="D126" s="175"/>
    </row>
    <row r="127" spans="1:4" hidden="1" x14ac:dyDescent="0.3">
      <c r="A127" s="222" t="s">
        <v>911</v>
      </c>
      <c r="B127" s="86" t="s">
        <v>619</v>
      </c>
      <c r="C127" s="175"/>
      <c r="D127" s="175"/>
    </row>
    <row r="128" spans="1:4" hidden="1" x14ac:dyDescent="0.3">
      <c r="A128" s="222" t="s">
        <v>911</v>
      </c>
      <c r="B128" s="86" t="s">
        <v>620</v>
      </c>
      <c r="C128" s="175"/>
      <c r="D128" s="175"/>
    </row>
    <row r="129" spans="1:4" hidden="1" x14ac:dyDescent="0.3">
      <c r="A129" s="222" t="s">
        <v>911</v>
      </c>
      <c r="B129" s="86" t="s">
        <v>621</v>
      </c>
      <c r="C129" s="175"/>
      <c r="D129" s="175"/>
    </row>
    <row r="130" spans="1:4" hidden="1" x14ac:dyDescent="0.3">
      <c r="A130" s="222" t="s">
        <v>911</v>
      </c>
      <c r="B130" s="86" t="s">
        <v>622</v>
      </c>
      <c r="C130" s="175"/>
      <c r="D130" s="175"/>
    </row>
    <row r="131" spans="1:4" hidden="1" x14ac:dyDescent="0.3">
      <c r="A131" s="222" t="s">
        <v>911</v>
      </c>
      <c r="B131" s="86" t="s">
        <v>623</v>
      </c>
      <c r="C131" s="175"/>
      <c r="D131" s="175"/>
    </row>
    <row r="132" spans="1:4" hidden="1" x14ac:dyDescent="0.3">
      <c r="A132" s="222" t="s">
        <v>911</v>
      </c>
      <c r="B132" s="86" t="s">
        <v>624</v>
      </c>
      <c r="C132" s="175"/>
      <c r="D132" s="175"/>
    </row>
    <row r="133" spans="1:4" hidden="1" x14ac:dyDescent="0.3">
      <c r="A133" s="222" t="s">
        <v>911</v>
      </c>
      <c r="B133" s="86" t="s">
        <v>625</v>
      </c>
      <c r="C133" s="175"/>
      <c r="D133" s="175"/>
    </row>
    <row r="134" spans="1:4" hidden="1" x14ac:dyDescent="0.3">
      <c r="A134" s="222" t="s">
        <v>911</v>
      </c>
      <c r="B134" s="86" t="s">
        <v>626</v>
      </c>
      <c r="C134" s="175"/>
      <c r="D134" s="175"/>
    </row>
    <row r="135" spans="1:4" hidden="1" x14ac:dyDescent="0.3">
      <c r="A135" s="222" t="s">
        <v>911</v>
      </c>
      <c r="B135" s="86" t="s">
        <v>627</v>
      </c>
      <c r="C135" s="175"/>
      <c r="D135" s="175"/>
    </row>
    <row r="136" spans="1:4" hidden="1" x14ac:dyDescent="0.3">
      <c r="A136" s="222" t="s">
        <v>911</v>
      </c>
      <c r="B136" s="86" t="s">
        <v>628</v>
      </c>
      <c r="C136" s="175"/>
      <c r="D136" s="175"/>
    </row>
    <row r="137" spans="1:4" hidden="1" x14ac:dyDescent="0.3">
      <c r="A137" s="222" t="s">
        <v>911</v>
      </c>
      <c r="B137" s="86" t="s">
        <v>629</v>
      </c>
      <c r="C137" s="175"/>
      <c r="D137" s="175"/>
    </row>
    <row r="138" spans="1:4" hidden="1" x14ac:dyDescent="0.3">
      <c r="A138" s="222" t="s">
        <v>911</v>
      </c>
      <c r="B138" s="86" t="s">
        <v>630</v>
      </c>
      <c r="C138" s="175"/>
      <c r="D138" s="175"/>
    </row>
    <row r="139" spans="1:4" hidden="1" x14ac:dyDescent="0.3">
      <c r="A139" s="222" t="s">
        <v>911</v>
      </c>
      <c r="B139" s="102" t="s">
        <v>631</v>
      </c>
      <c r="C139" s="268"/>
      <c r="D139" s="268"/>
    </row>
    <row r="140" spans="1:4" hidden="1" x14ac:dyDescent="0.3">
      <c r="A140" s="222" t="s">
        <v>934</v>
      </c>
      <c r="B140" s="87" t="s">
        <v>554</v>
      </c>
      <c r="C140" s="175"/>
      <c r="D140" s="175">
        <v>1</v>
      </c>
    </row>
    <row r="141" spans="1:4" hidden="1" x14ac:dyDescent="0.3">
      <c r="A141" s="222" t="s">
        <v>934</v>
      </c>
      <c r="B141" s="86" t="s">
        <v>557</v>
      </c>
      <c r="C141" s="175"/>
      <c r="D141" s="175"/>
    </row>
    <row r="142" spans="1:4" hidden="1" x14ac:dyDescent="0.3">
      <c r="A142" s="222" t="s">
        <v>934</v>
      </c>
      <c r="B142" s="86" t="s">
        <v>559</v>
      </c>
      <c r="C142" s="175"/>
      <c r="D142" s="175"/>
    </row>
    <row r="143" spans="1:4" hidden="1" x14ac:dyDescent="0.3">
      <c r="A143" s="222" t="s">
        <v>934</v>
      </c>
      <c r="B143" s="86" t="s">
        <v>561</v>
      </c>
      <c r="C143" s="175"/>
      <c r="D143" s="175"/>
    </row>
    <row r="144" spans="1:4" hidden="1" x14ac:dyDescent="0.3">
      <c r="A144" s="222" t="s">
        <v>934</v>
      </c>
      <c r="B144" s="86" t="s">
        <v>563</v>
      </c>
      <c r="C144" s="175"/>
      <c r="D144" s="175"/>
    </row>
    <row r="145" spans="1:4" hidden="1" x14ac:dyDescent="0.3">
      <c r="A145" s="222" t="s">
        <v>934</v>
      </c>
      <c r="B145" s="86" t="s">
        <v>566</v>
      </c>
      <c r="C145" s="175"/>
      <c r="D145" s="175"/>
    </row>
    <row r="146" spans="1:4" hidden="1" x14ac:dyDescent="0.3">
      <c r="A146" s="222" t="s">
        <v>934</v>
      </c>
      <c r="B146" s="86" t="s">
        <v>568</v>
      </c>
      <c r="C146" s="175"/>
      <c r="D146" s="175"/>
    </row>
    <row r="147" spans="1:4" hidden="1" x14ac:dyDescent="0.3">
      <c r="A147" s="222" t="s">
        <v>934</v>
      </c>
      <c r="B147" s="86" t="s">
        <v>569</v>
      </c>
      <c r="C147" s="175"/>
      <c r="D147" s="175"/>
    </row>
    <row r="148" spans="1:4" hidden="1" x14ac:dyDescent="0.3">
      <c r="A148" s="222" t="s">
        <v>934</v>
      </c>
      <c r="B148" s="86" t="s">
        <v>570</v>
      </c>
      <c r="C148" s="175"/>
      <c r="D148" s="175"/>
    </row>
    <row r="149" spans="1:4" hidden="1" x14ac:dyDescent="0.3">
      <c r="A149" s="222" t="s">
        <v>934</v>
      </c>
      <c r="B149" s="86" t="s">
        <v>572</v>
      </c>
      <c r="C149" s="175"/>
      <c r="D149" s="175"/>
    </row>
    <row r="150" spans="1:4" hidden="1" x14ac:dyDescent="0.3">
      <c r="A150" s="222" t="s">
        <v>934</v>
      </c>
      <c r="B150" s="86" t="s">
        <v>573</v>
      </c>
      <c r="C150" s="175"/>
      <c r="D150" s="175"/>
    </row>
    <row r="151" spans="1:4" hidden="1" x14ac:dyDescent="0.3">
      <c r="A151" s="222" t="s">
        <v>934</v>
      </c>
      <c r="B151" s="86" t="s">
        <v>574</v>
      </c>
      <c r="C151" s="175"/>
      <c r="D151" s="175"/>
    </row>
    <row r="152" spans="1:4" hidden="1" x14ac:dyDescent="0.3">
      <c r="A152" s="222" t="s">
        <v>934</v>
      </c>
      <c r="B152" s="86" t="s">
        <v>575</v>
      </c>
      <c r="C152" s="175"/>
      <c r="D152" s="175">
        <v>2</v>
      </c>
    </row>
    <row r="153" spans="1:4" hidden="1" x14ac:dyDescent="0.3">
      <c r="A153" s="222" t="s">
        <v>934</v>
      </c>
      <c r="B153" s="86" t="s">
        <v>576</v>
      </c>
      <c r="C153" s="175"/>
      <c r="D153" s="175"/>
    </row>
    <row r="154" spans="1:4" hidden="1" x14ac:dyDescent="0.3">
      <c r="A154" s="222" t="s">
        <v>934</v>
      </c>
      <c r="B154" s="86" t="s">
        <v>577</v>
      </c>
      <c r="C154" s="175"/>
      <c r="D154" s="175"/>
    </row>
    <row r="155" spans="1:4" hidden="1" x14ac:dyDescent="0.3">
      <c r="A155" s="222" t="s">
        <v>934</v>
      </c>
      <c r="B155" s="86" t="s">
        <v>578</v>
      </c>
      <c r="C155" s="175"/>
      <c r="D155" s="175"/>
    </row>
    <row r="156" spans="1:4" hidden="1" x14ac:dyDescent="0.3">
      <c r="A156" s="222" t="s">
        <v>934</v>
      </c>
      <c r="B156" s="86" t="s">
        <v>579</v>
      </c>
      <c r="C156" s="175"/>
      <c r="D156" s="175"/>
    </row>
    <row r="157" spans="1:4" hidden="1" x14ac:dyDescent="0.3">
      <c r="A157" s="222" t="s">
        <v>934</v>
      </c>
      <c r="B157" s="86" t="s">
        <v>580</v>
      </c>
      <c r="C157" s="175"/>
      <c r="D157" s="175"/>
    </row>
    <row r="158" spans="1:4" hidden="1" x14ac:dyDescent="0.3">
      <c r="A158" s="222" t="s">
        <v>934</v>
      </c>
      <c r="B158" s="86" t="s">
        <v>581</v>
      </c>
      <c r="C158" s="175"/>
      <c r="D158" s="175"/>
    </row>
    <row r="159" spans="1:4" hidden="1" x14ac:dyDescent="0.3">
      <c r="A159" s="222" t="s">
        <v>934</v>
      </c>
      <c r="B159" s="86" t="s">
        <v>582</v>
      </c>
      <c r="C159" s="175"/>
      <c r="D159" s="175"/>
    </row>
    <row r="160" spans="1:4" hidden="1" x14ac:dyDescent="0.3">
      <c r="A160" s="222" t="s">
        <v>934</v>
      </c>
      <c r="B160" s="86" t="s">
        <v>583</v>
      </c>
      <c r="C160" s="175"/>
      <c r="D160" s="175"/>
    </row>
    <row r="161" spans="1:4" hidden="1" x14ac:dyDescent="0.3">
      <c r="A161" s="222" t="s">
        <v>934</v>
      </c>
      <c r="B161" s="86" t="s">
        <v>584</v>
      </c>
      <c r="C161" s="175"/>
      <c r="D161" s="175"/>
    </row>
    <row r="162" spans="1:4" hidden="1" x14ac:dyDescent="0.3">
      <c r="A162" s="222" t="s">
        <v>934</v>
      </c>
      <c r="B162" s="86" t="s">
        <v>585</v>
      </c>
      <c r="C162" s="175"/>
      <c r="D162" s="175"/>
    </row>
    <row r="163" spans="1:4" hidden="1" x14ac:dyDescent="0.3">
      <c r="A163" s="222" t="s">
        <v>934</v>
      </c>
      <c r="B163" s="86" t="s">
        <v>586</v>
      </c>
      <c r="C163" s="175"/>
      <c r="D163" s="175">
        <v>1</v>
      </c>
    </row>
    <row r="164" spans="1:4" hidden="1" x14ac:dyDescent="0.3">
      <c r="A164" s="222" t="s">
        <v>934</v>
      </c>
      <c r="B164" s="86" t="s">
        <v>587</v>
      </c>
      <c r="C164" s="175"/>
      <c r="D164" s="175"/>
    </row>
    <row r="165" spans="1:4" hidden="1" x14ac:dyDescent="0.3">
      <c r="A165" s="222" t="s">
        <v>934</v>
      </c>
      <c r="B165" s="86" t="s">
        <v>588</v>
      </c>
      <c r="C165" s="175"/>
      <c r="D165" s="175"/>
    </row>
    <row r="166" spans="1:4" hidden="1" x14ac:dyDescent="0.3">
      <c r="A166" s="222" t="s">
        <v>934</v>
      </c>
      <c r="B166" s="86" t="s">
        <v>589</v>
      </c>
      <c r="C166" s="175"/>
      <c r="D166" s="175"/>
    </row>
    <row r="167" spans="1:4" hidden="1" x14ac:dyDescent="0.3">
      <c r="A167" s="222" t="s">
        <v>934</v>
      </c>
      <c r="B167" s="86" t="s">
        <v>590</v>
      </c>
      <c r="C167" s="175"/>
      <c r="D167" s="175">
        <v>1</v>
      </c>
    </row>
    <row r="168" spans="1:4" hidden="1" x14ac:dyDescent="0.3">
      <c r="A168" s="222" t="s">
        <v>934</v>
      </c>
      <c r="B168" s="86" t="s">
        <v>591</v>
      </c>
      <c r="C168" s="175"/>
      <c r="D168" s="175"/>
    </row>
    <row r="169" spans="1:4" hidden="1" x14ac:dyDescent="0.3">
      <c r="A169" s="222" t="s">
        <v>934</v>
      </c>
      <c r="B169" s="86" t="s">
        <v>592</v>
      </c>
      <c r="C169" s="175"/>
      <c r="D169" s="175"/>
    </row>
    <row r="170" spans="1:4" hidden="1" x14ac:dyDescent="0.3">
      <c r="A170" s="222" t="s">
        <v>934</v>
      </c>
      <c r="B170" s="86" t="s">
        <v>593</v>
      </c>
      <c r="C170" s="175"/>
      <c r="D170" s="175"/>
    </row>
    <row r="171" spans="1:4" hidden="1" x14ac:dyDescent="0.3">
      <c r="A171" s="222" t="s">
        <v>934</v>
      </c>
      <c r="B171" s="86" t="s">
        <v>594</v>
      </c>
      <c r="C171" s="175"/>
      <c r="D171" s="175"/>
    </row>
    <row r="172" spans="1:4" hidden="1" x14ac:dyDescent="0.3">
      <c r="A172" s="222" t="s">
        <v>934</v>
      </c>
      <c r="B172" s="86" t="s">
        <v>595</v>
      </c>
      <c r="C172" s="175"/>
      <c r="D172" s="175"/>
    </row>
    <row r="173" spans="1:4" hidden="1" x14ac:dyDescent="0.3">
      <c r="A173" s="222" t="s">
        <v>934</v>
      </c>
      <c r="B173" s="86" t="s">
        <v>596</v>
      </c>
      <c r="C173" s="175"/>
      <c r="D173" s="175"/>
    </row>
    <row r="174" spans="1:4" hidden="1" x14ac:dyDescent="0.3">
      <c r="A174" s="222" t="s">
        <v>934</v>
      </c>
      <c r="B174" s="86" t="s">
        <v>597</v>
      </c>
      <c r="C174" s="175"/>
      <c r="D174" s="175"/>
    </row>
    <row r="175" spans="1:4" hidden="1" x14ac:dyDescent="0.3">
      <c r="A175" s="222" t="s">
        <v>934</v>
      </c>
      <c r="B175" s="86" t="s">
        <v>598</v>
      </c>
      <c r="C175" s="175"/>
      <c r="D175" s="175"/>
    </row>
    <row r="176" spans="1:4" hidden="1" x14ac:dyDescent="0.3">
      <c r="A176" s="222" t="s">
        <v>934</v>
      </c>
      <c r="B176" s="86" t="s">
        <v>599</v>
      </c>
      <c r="C176" s="175"/>
      <c r="D176" s="175"/>
    </row>
    <row r="177" spans="1:4" hidden="1" x14ac:dyDescent="0.3">
      <c r="A177" s="222" t="s">
        <v>934</v>
      </c>
      <c r="B177" s="86" t="s">
        <v>600</v>
      </c>
      <c r="C177" s="175"/>
      <c r="D177" s="175"/>
    </row>
    <row r="178" spans="1:4" hidden="1" x14ac:dyDescent="0.3">
      <c r="A178" s="222" t="s">
        <v>934</v>
      </c>
      <c r="B178" s="86" t="s">
        <v>601</v>
      </c>
      <c r="C178" s="175"/>
      <c r="D178" s="175"/>
    </row>
    <row r="179" spans="1:4" hidden="1" x14ac:dyDescent="0.3">
      <c r="A179" s="222" t="s">
        <v>934</v>
      </c>
      <c r="B179" s="86" t="s">
        <v>602</v>
      </c>
      <c r="C179" s="175"/>
      <c r="D179" s="175"/>
    </row>
    <row r="180" spans="1:4" hidden="1" x14ac:dyDescent="0.3">
      <c r="A180" s="222" t="s">
        <v>934</v>
      </c>
      <c r="B180" s="86" t="s">
        <v>603</v>
      </c>
      <c r="C180" s="175"/>
      <c r="D180" s="175"/>
    </row>
    <row r="181" spans="1:4" hidden="1" x14ac:dyDescent="0.3">
      <c r="A181" s="222" t="s">
        <v>934</v>
      </c>
      <c r="B181" s="86" t="s">
        <v>604</v>
      </c>
      <c r="C181" s="175"/>
      <c r="D181" s="175">
        <v>1</v>
      </c>
    </row>
    <row r="182" spans="1:4" hidden="1" x14ac:dyDescent="0.3">
      <c r="A182" s="222" t="s">
        <v>934</v>
      </c>
      <c r="B182" s="86" t="s">
        <v>605</v>
      </c>
      <c r="C182" s="175"/>
      <c r="D182" s="175"/>
    </row>
    <row r="183" spans="1:4" hidden="1" x14ac:dyDescent="0.3">
      <c r="A183" s="222" t="s">
        <v>934</v>
      </c>
      <c r="B183" s="86" t="s">
        <v>606</v>
      </c>
      <c r="C183" s="175"/>
      <c r="D183" s="175"/>
    </row>
    <row r="184" spans="1:4" hidden="1" x14ac:dyDescent="0.3">
      <c r="A184" s="222" t="s">
        <v>934</v>
      </c>
      <c r="B184" s="86" t="s">
        <v>607</v>
      </c>
      <c r="C184" s="175"/>
      <c r="D184" s="175"/>
    </row>
    <row r="185" spans="1:4" hidden="1" x14ac:dyDescent="0.3">
      <c r="A185" s="222" t="s">
        <v>934</v>
      </c>
      <c r="B185" s="86" t="s">
        <v>608</v>
      </c>
      <c r="C185" s="175"/>
      <c r="D185" s="175"/>
    </row>
    <row r="186" spans="1:4" hidden="1" x14ac:dyDescent="0.3">
      <c r="A186" s="222" t="s">
        <v>934</v>
      </c>
      <c r="B186" s="86" t="s">
        <v>609</v>
      </c>
      <c r="C186" s="175"/>
      <c r="D186" s="175"/>
    </row>
    <row r="187" spans="1:4" hidden="1" x14ac:dyDescent="0.3">
      <c r="A187" s="222" t="s">
        <v>934</v>
      </c>
      <c r="B187" s="86" t="s">
        <v>610</v>
      </c>
      <c r="C187" s="175"/>
      <c r="D187" s="175"/>
    </row>
    <row r="188" spans="1:4" hidden="1" x14ac:dyDescent="0.3">
      <c r="A188" s="222" t="s">
        <v>934</v>
      </c>
      <c r="B188" s="86" t="s">
        <v>611</v>
      </c>
      <c r="C188" s="175"/>
      <c r="D188" s="175"/>
    </row>
    <row r="189" spans="1:4" hidden="1" x14ac:dyDescent="0.3">
      <c r="A189" s="222" t="s">
        <v>934</v>
      </c>
      <c r="B189" s="86" t="s">
        <v>612</v>
      </c>
      <c r="C189" s="175"/>
      <c r="D189" s="175"/>
    </row>
    <row r="190" spans="1:4" hidden="1" x14ac:dyDescent="0.3">
      <c r="A190" s="222" t="s">
        <v>934</v>
      </c>
      <c r="B190" s="86" t="s">
        <v>613</v>
      </c>
      <c r="C190" s="175"/>
      <c r="D190" s="175"/>
    </row>
    <row r="191" spans="1:4" hidden="1" x14ac:dyDescent="0.3">
      <c r="A191" s="222" t="s">
        <v>934</v>
      </c>
      <c r="B191" s="86" t="s">
        <v>614</v>
      </c>
      <c r="C191" s="175"/>
      <c r="D191" s="175"/>
    </row>
    <row r="192" spans="1:4" hidden="1" x14ac:dyDescent="0.3">
      <c r="A192" s="222" t="s">
        <v>934</v>
      </c>
      <c r="B192" s="86" t="s">
        <v>615</v>
      </c>
      <c r="C192" s="175"/>
      <c r="D192" s="175"/>
    </row>
    <row r="193" spans="1:4" hidden="1" x14ac:dyDescent="0.3">
      <c r="A193" s="222" t="s">
        <v>934</v>
      </c>
      <c r="B193" s="86" t="s">
        <v>616</v>
      </c>
      <c r="C193" s="175"/>
      <c r="D193" s="175"/>
    </row>
    <row r="194" spans="1:4" hidden="1" x14ac:dyDescent="0.3">
      <c r="A194" s="222" t="s">
        <v>934</v>
      </c>
      <c r="B194" s="86" t="s">
        <v>617</v>
      </c>
      <c r="C194" s="175"/>
      <c r="D194" s="175"/>
    </row>
    <row r="195" spans="1:4" hidden="1" x14ac:dyDescent="0.3">
      <c r="A195" s="222" t="s">
        <v>934</v>
      </c>
      <c r="B195" s="86" t="s">
        <v>618</v>
      </c>
      <c r="C195" s="175"/>
      <c r="D195" s="175"/>
    </row>
    <row r="196" spans="1:4" hidden="1" x14ac:dyDescent="0.3">
      <c r="A196" s="222" t="s">
        <v>934</v>
      </c>
      <c r="B196" s="86" t="s">
        <v>619</v>
      </c>
      <c r="C196" s="175"/>
      <c r="D196" s="175"/>
    </row>
    <row r="197" spans="1:4" hidden="1" x14ac:dyDescent="0.3">
      <c r="A197" s="222" t="s">
        <v>934</v>
      </c>
      <c r="B197" s="86" t="s">
        <v>620</v>
      </c>
      <c r="C197" s="175"/>
      <c r="D197" s="175"/>
    </row>
    <row r="198" spans="1:4" hidden="1" x14ac:dyDescent="0.3">
      <c r="A198" s="222" t="s">
        <v>934</v>
      </c>
      <c r="B198" s="86" t="s">
        <v>621</v>
      </c>
      <c r="C198" s="175"/>
      <c r="D198" s="175"/>
    </row>
    <row r="199" spans="1:4" hidden="1" x14ac:dyDescent="0.3">
      <c r="A199" s="222" t="s">
        <v>934</v>
      </c>
      <c r="B199" s="86" t="s">
        <v>622</v>
      </c>
      <c r="C199" s="175"/>
      <c r="D199" s="175"/>
    </row>
    <row r="200" spans="1:4" hidden="1" x14ac:dyDescent="0.3">
      <c r="A200" s="222" t="s">
        <v>934</v>
      </c>
      <c r="B200" s="86" t="s">
        <v>623</v>
      </c>
      <c r="C200" s="175"/>
      <c r="D200" s="175"/>
    </row>
    <row r="201" spans="1:4" hidden="1" x14ac:dyDescent="0.3">
      <c r="A201" s="222" t="s">
        <v>934</v>
      </c>
      <c r="B201" s="86" t="s">
        <v>624</v>
      </c>
      <c r="C201" s="175"/>
      <c r="D201" s="175"/>
    </row>
    <row r="202" spans="1:4" hidden="1" x14ac:dyDescent="0.3">
      <c r="A202" s="222" t="s">
        <v>934</v>
      </c>
      <c r="B202" s="86" t="s">
        <v>625</v>
      </c>
      <c r="C202" s="175"/>
      <c r="D202" s="175"/>
    </row>
    <row r="203" spans="1:4" hidden="1" x14ac:dyDescent="0.3">
      <c r="A203" s="222" t="s">
        <v>934</v>
      </c>
      <c r="B203" s="86" t="s">
        <v>626</v>
      </c>
      <c r="C203" s="175"/>
      <c r="D203" s="175"/>
    </row>
    <row r="204" spans="1:4" hidden="1" x14ac:dyDescent="0.3">
      <c r="A204" s="222" t="s">
        <v>934</v>
      </c>
      <c r="B204" s="86" t="s">
        <v>627</v>
      </c>
      <c r="C204" s="175"/>
      <c r="D204" s="175"/>
    </row>
    <row r="205" spans="1:4" hidden="1" x14ac:dyDescent="0.3">
      <c r="A205" s="222" t="s">
        <v>934</v>
      </c>
      <c r="B205" s="86" t="s">
        <v>628</v>
      </c>
      <c r="C205" s="175"/>
      <c r="D205" s="175"/>
    </row>
    <row r="206" spans="1:4" hidden="1" x14ac:dyDescent="0.3">
      <c r="A206" s="222" t="s">
        <v>934</v>
      </c>
      <c r="B206" s="86" t="s">
        <v>629</v>
      </c>
      <c r="C206" s="175"/>
      <c r="D206" s="175"/>
    </row>
    <row r="207" spans="1:4" hidden="1" x14ac:dyDescent="0.3">
      <c r="A207" s="222" t="s">
        <v>934</v>
      </c>
      <c r="B207" s="86" t="s">
        <v>630</v>
      </c>
      <c r="C207" s="175"/>
      <c r="D207" s="175"/>
    </row>
    <row r="208" spans="1:4" hidden="1" x14ac:dyDescent="0.3">
      <c r="A208" s="274" t="s">
        <v>934</v>
      </c>
      <c r="B208" s="102" t="s">
        <v>631</v>
      </c>
      <c r="C208" s="268"/>
      <c r="D208" s="268"/>
    </row>
    <row r="209" spans="1:4" hidden="1" x14ac:dyDescent="0.3">
      <c r="A209" s="222" t="s">
        <v>959</v>
      </c>
      <c r="B209" s="87" t="s">
        <v>554</v>
      </c>
      <c r="C209" s="175"/>
      <c r="D209" s="175"/>
    </row>
    <row r="210" spans="1:4" hidden="1" x14ac:dyDescent="0.3">
      <c r="A210" s="222" t="s">
        <v>959</v>
      </c>
      <c r="B210" s="86" t="s">
        <v>557</v>
      </c>
      <c r="C210" s="175">
        <v>1</v>
      </c>
      <c r="D210" s="175">
        <v>1</v>
      </c>
    </row>
    <row r="211" spans="1:4" hidden="1" x14ac:dyDescent="0.3">
      <c r="A211" s="222" t="s">
        <v>959</v>
      </c>
      <c r="B211" s="86" t="s">
        <v>559</v>
      </c>
      <c r="C211" s="175"/>
      <c r="D211" s="175"/>
    </row>
    <row r="212" spans="1:4" hidden="1" x14ac:dyDescent="0.3">
      <c r="A212" s="222" t="s">
        <v>959</v>
      </c>
      <c r="B212" s="86" t="s">
        <v>561</v>
      </c>
      <c r="C212" s="175"/>
      <c r="D212" s="175"/>
    </row>
    <row r="213" spans="1:4" hidden="1" x14ac:dyDescent="0.3">
      <c r="A213" s="222" t="s">
        <v>959</v>
      </c>
      <c r="B213" s="86" t="s">
        <v>563</v>
      </c>
      <c r="C213" s="175"/>
      <c r="D213" s="175"/>
    </row>
    <row r="214" spans="1:4" hidden="1" x14ac:dyDescent="0.3">
      <c r="A214" s="222" t="s">
        <v>959</v>
      </c>
      <c r="B214" s="86" t="s">
        <v>566</v>
      </c>
      <c r="C214" s="175"/>
      <c r="D214" s="175"/>
    </row>
    <row r="215" spans="1:4" hidden="1" x14ac:dyDescent="0.3">
      <c r="A215" s="222" t="s">
        <v>959</v>
      </c>
      <c r="B215" s="86" t="s">
        <v>568</v>
      </c>
      <c r="C215" s="175"/>
      <c r="D215" s="175"/>
    </row>
    <row r="216" spans="1:4" hidden="1" x14ac:dyDescent="0.3">
      <c r="A216" s="222" t="s">
        <v>959</v>
      </c>
      <c r="B216" s="86" t="s">
        <v>569</v>
      </c>
      <c r="C216" s="175"/>
      <c r="D216" s="175"/>
    </row>
    <row r="217" spans="1:4" hidden="1" x14ac:dyDescent="0.3">
      <c r="A217" s="222" t="s">
        <v>959</v>
      </c>
      <c r="B217" s="86" t="s">
        <v>570</v>
      </c>
      <c r="C217" s="175"/>
      <c r="D217" s="175"/>
    </row>
    <row r="218" spans="1:4" hidden="1" x14ac:dyDescent="0.3">
      <c r="A218" s="222" t="s">
        <v>959</v>
      </c>
      <c r="B218" s="86" t="s">
        <v>572</v>
      </c>
      <c r="C218" s="175"/>
      <c r="D218" s="175"/>
    </row>
    <row r="219" spans="1:4" hidden="1" x14ac:dyDescent="0.3">
      <c r="A219" s="222" t="s">
        <v>959</v>
      </c>
      <c r="B219" s="86" t="s">
        <v>573</v>
      </c>
      <c r="C219" s="175"/>
      <c r="D219" s="175"/>
    </row>
    <row r="220" spans="1:4" hidden="1" x14ac:dyDescent="0.3">
      <c r="A220" s="222" t="s">
        <v>959</v>
      </c>
      <c r="B220" s="86" t="s">
        <v>574</v>
      </c>
      <c r="C220" s="175"/>
      <c r="D220" s="175"/>
    </row>
    <row r="221" spans="1:4" hidden="1" x14ac:dyDescent="0.3">
      <c r="A221" s="222" t="s">
        <v>959</v>
      </c>
      <c r="B221" s="86" t="s">
        <v>575</v>
      </c>
      <c r="C221" s="175"/>
      <c r="D221" s="175"/>
    </row>
    <row r="222" spans="1:4" hidden="1" x14ac:dyDescent="0.3">
      <c r="A222" s="222" t="s">
        <v>959</v>
      </c>
      <c r="B222" s="86" t="s">
        <v>576</v>
      </c>
      <c r="C222" s="175"/>
      <c r="D222" s="175"/>
    </row>
    <row r="223" spans="1:4" hidden="1" x14ac:dyDescent="0.3">
      <c r="A223" s="222" t="s">
        <v>959</v>
      </c>
      <c r="B223" s="86" t="s">
        <v>577</v>
      </c>
      <c r="C223" s="175"/>
      <c r="D223" s="175"/>
    </row>
    <row r="224" spans="1:4" hidden="1" x14ac:dyDescent="0.3">
      <c r="A224" s="222" t="s">
        <v>959</v>
      </c>
      <c r="B224" s="86" t="s">
        <v>578</v>
      </c>
      <c r="C224" s="175"/>
      <c r="D224" s="175"/>
    </row>
    <row r="225" spans="1:4" hidden="1" x14ac:dyDescent="0.3">
      <c r="A225" s="222" t="s">
        <v>959</v>
      </c>
      <c r="B225" s="86" t="s">
        <v>579</v>
      </c>
      <c r="C225" s="175"/>
      <c r="D225" s="175"/>
    </row>
    <row r="226" spans="1:4" hidden="1" x14ac:dyDescent="0.3">
      <c r="A226" s="222" t="s">
        <v>959</v>
      </c>
      <c r="B226" s="86" t="s">
        <v>580</v>
      </c>
      <c r="C226" s="175"/>
      <c r="D226" s="175"/>
    </row>
    <row r="227" spans="1:4" hidden="1" x14ac:dyDescent="0.3">
      <c r="A227" s="222" t="s">
        <v>959</v>
      </c>
      <c r="B227" s="86" t="s">
        <v>581</v>
      </c>
      <c r="C227" s="175"/>
      <c r="D227" s="175"/>
    </row>
    <row r="228" spans="1:4" hidden="1" x14ac:dyDescent="0.3">
      <c r="A228" s="222" t="s">
        <v>959</v>
      </c>
      <c r="B228" s="86" t="s">
        <v>582</v>
      </c>
      <c r="C228" s="175"/>
      <c r="D228" s="175"/>
    </row>
    <row r="229" spans="1:4" hidden="1" x14ac:dyDescent="0.3">
      <c r="A229" s="222" t="s">
        <v>959</v>
      </c>
      <c r="B229" s="86" t="s">
        <v>583</v>
      </c>
      <c r="C229" s="175"/>
      <c r="D229" s="175"/>
    </row>
    <row r="230" spans="1:4" hidden="1" x14ac:dyDescent="0.3">
      <c r="A230" s="222" t="s">
        <v>959</v>
      </c>
      <c r="B230" s="86" t="s">
        <v>584</v>
      </c>
      <c r="C230" s="175"/>
      <c r="D230" s="175"/>
    </row>
    <row r="231" spans="1:4" hidden="1" x14ac:dyDescent="0.3">
      <c r="A231" s="222" t="s">
        <v>959</v>
      </c>
      <c r="B231" s="86" t="s">
        <v>585</v>
      </c>
      <c r="C231" s="175"/>
      <c r="D231" s="175"/>
    </row>
    <row r="232" spans="1:4" hidden="1" x14ac:dyDescent="0.3">
      <c r="A232" s="222" t="s">
        <v>959</v>
      </c>
      <c r="B232" s="86" t="s">
        <v>586</v>
      </c>
      <c r="C232" s="175"/>
      <c r="D232" s="175"/>
    </row>
    <row r="233" spans="1:4" hidden="1" x14ac:dyDescent="0.3">
      <c r="A233" s="222" t="s">
        <v>959</v>
      </c>
      <c r="B233" s="86" t="s">
        <v>587</v>
      </c>
      <c r="C233" s="175"/>
      <c r="D233" s="175"/>
    </row>
    <row r="234" spans="1:4" hidden="1" x14ac:dyDescent="0.3">
      <c r="A234" s="222" t="s">
        <v>959</v>
      </c>
      <c r="B234" s="86" t="s">
        <v>588</v>
      </c>
      <c r="C234" s="175"/>
      <c r="D234" s="175"/>
    </row>
    <row r="235" spans="1:4" hidden="1" x14ac:dyDescent="0.3">
      <c r="A235" s="222" t="s">
        <v>959</v>
      </c>
      <c r="B235" s="86" t="s">
        <v>589</v>
      </c>
      <c r="C235" s="175"/>
      <c r="D235" s="175"/>
    </row>
    <row r="236" spans="1:4" hidden="1" x14ac:dyDescent="0.3">
      <c r="A236" s="222" t="s">
        <v>959</v>
      </c>
      <c r="B236" s="86" t="s">
        <v>590</v>
      </c>
      <c r="C236" s="175"/>
      <c r="D236" s="175"/>
    </row>
    <row r="237" spans="1:4" hidden="1" x14ac:dyDescent="0.3">
      <c r="A237" s="222" t="s">
        <v>959</v>
      </c>
      <c r="B237" s="86" t="s">
        <v>591</v>
      </c>
      <c r="C237" s="175"/>
      <c r="D237" s="175"/>
    </row>
    <row r="238" spans="1:4" hidden="1" x14ac:dyDescent="0.3">
      <c r="A238" s="222" t="s">
        <v>959</v>
      </c>
      <c r="B238" s="86" t="s">
        <v>592</v>
      </c>
      <c r="C238" s="175"/>
      <c r="D238" s="175"/>
    </row>
    <row r="239" spans="1:4" hidden="1" x14ac:dyDescent="0.3">
      <c r="A239" s="222" t="s">
        <v>959</v>
      </c>
      <c r="B239" s="86" t="s">
        <v>593</v>
      </c>
      <c r="C239" s="175"/>
      <c r="D239" s="175"/>
    </row>
    <row r="240" spans="1:4" hidden="1" x14ac:dyDescent="0.3">
      <c r="A240" s="222" t="s">
        <v>959</v>
      </c>
      <c r="B240" s="86" t="s">
        <v>594</v>
      </c>
      <c r="C240" s="175"/>
      <c r="D240" s="175"/>
    </row>
    <row r="241" spans="1:4" hidden="1" x14ac:dyDescent="0.3">
      <c r="A241" s="222" t="s">
        <v>959</v>
      </c>
      <c r="B241" s="86" t="s">
        <v>595</v>
      </c>
      <c r="C241" s="175"/>
      <c r="D241" s="175"/>
    </row>
    <row r="242" spans="1:4" hidden="1" x14ac:dyDescent="0.3">
      <c r="A242" s="222" t="s">
        <v>959</v>
      </c>
      <c r="B242" s="86" t="s">
        <v>596</v>
      </c>
      <c r="C242" s="175"/>
      <c r="D242" s="175"/>
    </row>
    <row r="243" spans="1:4" hidden="1" x14ac:dyDescent="0.3">
      <c r="A243" s="222" t="s">
        <v>959</v>
      </c>
      <c r="B243" s="86" t="s">
        <v>597</v>
      </c>
      <c r="C243" s="175"/>
      <c r="D243" s="175"/>
    </row>
    <row r="244" spans="1:4" hidden="1" x14ac:dyDescent="0.3">
      <c r="A244" s="222" t="s">
        <v>959</v>
      </c>
      <c r="B244" s="86" t="s">
        <v>598</v>
      </c>
      <c r="C244" s="175"/>
      <c r="D244" s="175"/>
    </row>
    <row r="245" spans="1:4" hidden="1" x14ac:dyDescent="0.3">
      <c r="A245" s="222" t="s">
        <v>959</v>
      </c>
      <c r="B245" s="86" t="s">
        <v>599</v>
      </c>
      <c r="C245" s="175"/>
      <c r="D245" s="175"/>
    </row>
    <row r="246" spans="1:4" hidden="1" x14ac:dyDescent="0.3">
      <c r="A246" s="222" t="s">
        <v>959</v>
      </c>
      <c r="B246" s="86" t="s">
        <v>600</v>
      </c>
      <c r="C246" s="175"/>
      <c r="D246" s="175"/>
    </row>
    <row r="247" spans="1:4" hidden="1" x14ac:dyDescent="0.3">
      <c r="A247" s="222" t="s">
        <v>959</v>
      </c>
      <c r="B247" s="86" t="s">
        <v>601</v>
      </c>
      <c r="C247" s="175"/>
      <c r="D247" s="175"/>
    </row>
    <row r="248" spans="1:4" hidden="1" x14ac:dyDescent="0.3">
      <c r="A248" s="222" t="s">
        <v>959</v>
      </c>
      <c r="B248" s="86" t="s">
        <v>602</v>
      </c>
      <c r="C248" s="175"/>
      <c r="D248" s="175"/>
    </row>
    <row r="249" spans="1:4" hidden="1" x14ac:dyDescent="0.3">
      <c r="A249" s="222" t="s">
        <v>959</v>
      </c>
      <c r="B249" s="86" t="s">
        <v>603</v>
      </c>
      <c r="C249" s="175"/>
      <c r="D249" s="175"/>
    </row>
    <row r="250" spans="1:4" hidden="1" x14ac:dyDescent="0.3">
      <c r="A250" s="222" t="s">
        <v>959</v>
      </c>
      <c r="B250" s="86" t="s">
        <v>604</v>
      </c>
      <c r="C250" s="175"/>
      <c r="D250" s="175"/>
    </row>
    <row r="251" spans="1:4" hidden="1" x14ac:dyDescent="0.3">
      <c r="A251" s="222" t="s">
        <v>959</v>
      </c>
      <c r="B251" s="86" t="s">
        <v>605</v>
      </c>
      <c r="C251" s="175"/>
      <c r="D251" s="175"/>
    </row>
    <row r="252" spans="1:4" hidden="1" x14ac:dyDescent="0.3">
      <c r="A252" s="222" t="s">
        <v>959</v>
      </c>
      <c r="B252" s="86" t="s">
        <v>606</v>
      </c>
      <c r="C252" s="175"/>
      <c r="D252" s="175"/>
    </row>
    <row r="253" spans="1:4" hidden="1" x14ac:dyDescent="0.3">
      <c r="A253" s="222" t="s">
        <v>959</v>
      </c>
      <c r="B253" s="86" t="s">
        <v>607</v>
      </c>
      <c r="C253" s="175"/>
      <c r="D253" s="175"/>
    </row>
    <row r="254" spans="1:4" hidden="1" x14ac:dyDescent="0.3">
      <c r="A254" s="222" t="s">
        <v>959</v>
      </c>
      <c r="B254" s="86" t="s">
        <v>608</v>
      </c>
      <c r="C254" s="175"/>
      <c r="D254" s="175"/>
    </row>
    <row r="255" spans="1:4" hidden="1" x14ac:dyDescent="0.3">
      <c r="A255" s="222" t="s">
        <v>959</v>
      </c>
      <c r="B255" s="86" t="s">
        <v>609</v>
      </c>
      <c r="C255" s="175"/>
      <c r="D255" s="175"/>
    </row>
    <row r="256" spans="1:4" hidden="1" x14ac:dyDescent="0.3">
      <c r="A256" s="222" t="s">
        <v>959</v>
      </c>
      <c r="B256" s="86" t="s">
        <v>610</v>
      </c>
      <c r="C256" s="175"/>
      <c r="D256" s="175"/>
    </row>
    <row r="257" spans="1:4" hidden="1" x14ac:dyDescent="0.3">
      <c r="A257" s="222" t="s">
        <v>959</v>
      </c>
      <c r="B257" s="86" t="s">
        <v>611</v>
      </c>
      <c r="C257" s="175"/>
      <c r="D257" s="175"/>
    </row>
    <row r="258" spans="1:4" hidden="1" x14ac:dyDescent="0.3">
      <c r="A258" s="222" t="s">
        <v>959</v>
      </c>
      <c r="B258" s="86" t="s">
        <v>612</v>
      </c>
      <c r="C258" s="175"/>
      <c r="D258" s="175"/>
    </row>
    <row r="259" spans="1:4" hidden="1" x14ac:dyDescent="0.3">
      <c r="A259" s="222" t="s">
        <v>959</v>
      </c>
      <c r="B259" s="86" t="s">
        <v>613</v>
      </c>
      <c r="C259" s="175"/>
      <c r="D259" s="175"/>
    </row>
    <row r="260" spans="1:4" hidden="1" x14ac:dyDescent="0.3">
      <c r="A260" s="222" t="s">
        <v>959</v>
      </c>
      <c r="B260" s="86" t="s">
        <v>614</v>
      </c>
      <c r="C260" s="175"/>
      <c r="D260" s="175"/>
    </row>
    <row r="261" spans="1:4" hidden="1" x14ac:dyDescent="0.3">
      <c r="A261" s="222" t="s">
        <v>959</v>
      </c>
      <c r="B261" s="86" t="s">
        <v>615</v>
      </c>
      <c r="C261" s="175"/>
      <c r="D261" s="175"/>
    </row>
    <row r="262" spans="1:4" hidden="1" x14ac:dyDescent="0.3">
      <c r="A262" s="222" t="s">
        <v>959</v>
      </c>
      <c r="B262" s="86" t="s">
        <v>616</v>
      </c>
      <c r="C262" s="175"/>
      <c r="D262" s="175"/>
    </row>
    <row r="263" spans="1:4" hidden="1" x14ac:dyDescent="0.3">
      <c r="A263" s="222" t="s">
        <v>959</v>
      </c>
      <c r="B263" s="86" t="s">
        <v>617</v>
      </c>
      <c r="C263" s="175"/>
      <c r="D263" s="175"/>
    </row>
    <row r="264" spans="1:4" hidden="1" x14ac:dyDescent="0.3">
      <c r="A264" s="222" t="s">
        <v>959</v>
      </c>
      <c r="B264" s="86" t="s">
        <v>618</v>
      </c>
      <c r="C264" s="175"/>
      <c r="D264" s="175"/>
    </row>
    <row r="265" spans="1:4" hidden="1" x14ac:dyDescent="0.3">
      <c r="A265" s="222" t="s">
        <v>959</v>
      </c>
      <c r="B265" s="86" t="s">
        <v>619</v>
      </c>
      <c r="C265" s="175"/>
      <c r="D265" s="175"/>
    </row>
    <row r="266" spans="1:4" hidden="1" x14ac:dyDescent="0.3">
      <c r="A266" s="222" t="s">
        <v>959</v>
      </c>
      <c r="B266" s="86" t="s">
        <v>620</v>
      </c>
      <c r="C266" s="175"/>
      <c r="D266" s="175"/>
    </row>
    <row r="267" spans="1:4" hidden="1" x14ac:dyDescent="0.3">
      <c r="A267" s="222" t="s">
        <v>959</v>
      </c>
      <c r="B267" s="86" t="s">
        <v>621</v>
      </c>
      <c r="C267" s="175"/>
      <c r="D267" s="175"/>
    </row>
    <row r="268" spans="1:4" hidden="1" x14ac:dyDescent="0.3">
      <c r="A268" s="222" t="s">
        <v>959</v>
      </c>
      <c r="B268" s="86" t="s">
        <v>622</v>
      </c>
      <c r="C268" s="175"/>
      <c r="D268" s="175"/>
    </row>
    <row r="269" spans="1:4" hidden="1" x14ac:dyDescent="0.3">
      <c r="A269" s="222" t="s">
        <v>959</v>
      </c>
      <c r="B269" s="86" t="s">
        <v>623</v>
      </c>
      <c r="C269" s="175"/>
      <c r="D269" s="175"/>
    </row>
    <row r="270" spans="1:4" hidden="1" x14ac:dyDescent="0.3">
      <c r="A270" s="222" t="s">
        <v>959</v>
      </c>
      <c r="B270" s="86" t="s">
        <v>624</v>
      </c>
      <c r="C270" s="175"/>
      <c r="D270" s="175"/>
    </row>
    <row r="271" spans="1:4" hidden="1" x14ac:dyDescent="0.3">
      <c r="A271" s="222" t="s">
        <v>959</v>
      </c>
      <c r="B271" s="86" t="s">
        <v>625</v>
      </c>
      <c r="C271" s="175"/>
      <c r="D271" s="175"/>
    </row>
    <row r="272" spans="1:4" hidden="1" x14ac:dyDescent="0.3">
      <c r="A272" s="222" t="s">
        <v>959</v>
      </c>
      <c r="B272" s="86" t="s">
        <v>626</v>
      </c>
      <c r="C272" s="175"/>
      <c r="D272" s="175"/>
    </row>
    <row r="273" spans="1:4" hidden="1" x14ac:dyDescent="0.3">
      <c r="A273" s="222" t="s">
        <v>959</v>
      </c>
      <c r="B273" s="86" t="s">
        <v>627</v>
      </c>
      <c r="C273" s="175"/>
      <c r="D273" s="175"/>
    </row>
    <row r="274" spans="1:4" hidden="1" x14ac:dyDescent="0.3">
      <c r="A274" s="222" t="s">
        <v>959</v>
      </c>
      <c r="B274" s="86" t="s">
        <v>628</v>
      </c>
      <c r="C274" s="175"/>
      <c r="D274" s="175"/>
    </row>
    <row r="275" spans="1:4" hidden="1" x14ac:dyDescent="0.3">
      <c r="A275" s="222" t="s">
        <v>959</v>
      </c>
      <c r="B275" s="86" t="s">
        <v>629</v>
      </c>
      <c r="C275" s="175"/>
      <c r="D275" s="175"/>
    </row>
    <row r="276" spans="1:4" hidden="1" x14ac:dyDescent="0.3">
      <c r="A276" s="222" t="s">
        <v>959</v>
      </c>
      <c r="B276" s="86" t="s">
        <v>630</v>
      </c>
      <c r="C276" s="175"/>
      <c r="D276" s="175"/>
    </row>
    <row r="277" spans="1:4" hidden="1" x14ac:dyDescent="0.3">
      <c r="A277" s="222" t="s">
        <v>959</v>
      </c>
      <c r="B277" s="102" t="s">
        <v>631</v>
      </c>
      <c r="C277" s="268"/>
      <c r="D277" s="268"/>
    </row>
    <row r="278" spans="1:4" x14ac:dyDescent="0.3">
      <c r="A278" s="222" t="s">
        <v>961</v>
      </c>
      <c r="B278" s="87" t="s">
        <v>554</v>
      </c>
      <c r="C278" s="175"/>
      <c r="D278" s="175"/>
    </row>
    <row r="279" spans="1:4" x14ac:dyDescent="0.3">
      <c r="A279" s="222" t="s">
        <v>961</v>
      </c>
      <c r="B279" s="86" t="s">
        <v>557</v>
      </c>
      <c r="C279" s="175"/>
      <c r="D279" s="175"/>
    </row>
    <row r="280" spans="1:4" x14ac:dyDescent="0.3">
      <c r="A280" s="222" t="s">
        <v>961</v>
      </c>
      <c r="B280" s="86" t="s">
        <v>559</v>
      </c>
      <c r="C280" s="175"/>
      <c r="D280" s="175"/>
    </row>
    <row r="281" spans="1:4" x14ac:dyDescent="0.3">
      <c r="A281" s="222" t="s">
        <v>961</v>
      </c>
      <c r="B281" s="86" t="s">
        <v>561</v>
      </c>
      <c r="C281" s="175"/>
      <c r="D281" s="175"/>
    </row>
    <row r="282" spans="1:4" x14ac:dyDescent="0.3">
      <c r="A282" s="222" t="s">
        <v>961</v>
      </c>
      <c r="B282" s="86" t="s">
        <v>563</v>
      </c>
      <c r="C282" s="175"/>
      <c r="D282" s="175"/>
    </row>
    <row r="283" spans="1:4" x14ac:dyDescent="0.3">
      <c r="A283" s="222" t="s">
        <v>961</v>
      </c>
      <c r="B283" s="86" t="s">
        <v>566</v>
      </c>
      <c r="C283" s="175"/>
      <c r="D283" s="175"/>
    </row>
    <row r="284" spans="1:4" x14ac:dyDescent="0.3">
      <c r="A284" s="222" t="s">
        <v>961</v>
      </c>
      <c r="B284" s="86" t="s">
        <v>568</v>
      </c>
      <c r="C284" s="175"/>
      <c r="D284" s="175"/>
    </row>
    <row r="285" spans="1:4" x14ac:dyDescent="0.3">
      <c r="A285" s="222" t="s">
        <v>961</v>
      </c>
      <c r="B285" s="86" t="s">
        <v>569</v>
      </c>
      <c r="C285" s="175"/>
      <c r="D285" s="175"/>
    </row>
    <row r="286" spans="1:4" x14ac:dyDescent="0.3">
      <c r="A286" s="222" t="s">
        <v>961</v>
      </c>
      <c r="B286" s="86" t="s">
        <v>570</v>
      </c>
      <c r="C286" s="175"/>
      <c r="D286" s="175"/>
    </row>
    <row r="287" spans="1:4" x14ac:dyDescent="0.3">
      <c r="A287" s="222" t="s">
        <v>961</v>
      </c>
      <c r="B287" s="86" t="s">
        <v>572</v>
      </c>
      <c r="C287" s="175"/>
      <c r="D287" s="175"/>
    </row>
    <row r="288" spans="1:4" x14ac:dyDescent="0.3">
      <c r="A288" s="222" t="s">
        <v>961</v>
      </c>
      <c r="B288" s="86" t="s">
        <v>573</v>
      </c>
      <c r="C288" s="175"/>
      <c r="D288" s="175"/>
    </row>
    <row r="289" spans="1:4" x14ac:dyDescent="0.3">
      <c r="A289" s="222" t="s">
        <v>961</v>
      </c>
      <c r="B289" s="86" t="s">
        <v>574</v>
      </c>
      <c r="C289" s="175">
        <v>2</v>
      </c>
      <c r="D289" s="175"/>
    </row>
    <row r="290" spans="1:4" x14ac:dyDescent="0.3">
      <c r="A290" s="222" t="s">
        <v>961</v>
      </c>
      <c r="B290" s="86" t="s">
        <v>575</v>
      </c>
      <c r="C290" s="175"/>
      <c r="D290" s="175"/>
    </row>
    <row r="291" spans="1:4" x14ac:dyDescent="0.3">
      <c r="A291" s="222" t="s">
        <v>961</v>
      </c>
      <c r="B291" s="86" t="s">
        <v>576</v>
      </c>
      <c r="C291" s="175">
        <v>1</v>
      </c>
      <c r="D291" s="175"/>
    </row>
    <row r="292" spans="1:4" x14ac:dyDescent="0.3">
      <c r="A292" s="222" t="s">
        <v>961</v>
      </c>
      <c r="B292" s="86" t="s">
        <v>577</v>
      </c>
      <c r="C292" s="175"/>
      <c r="D292" s="175"/>
    </row>
    <row r="293" spans="1:4" x14ac:dyDescent="0.3">
      <c r="A293" s="222" t="s">
        <v>961</v>
      </c>
      <c r="B293" s="86" t="s">
        <v>578</v>
      </c>
      <c r="C293" s="175"/>
      <c r="D293" s="175"/>
    </row>
    <row r="294" spans="1:4" x14ac:dyDescent="0.3">
      <c r="A294" s="222" t="s">
        <v>961</v>
      </c>
      <c r="B294" s="86" t="s">
        <v>579</v>
      </c>
      <c r="C294" s="175"/>
      <c r="D294" s="175">
        <v>1</v>
      </c>
    </row>
    <row r="295" spans="1:4" x14ac:dyDescent="0.3">
      <c r="A295" s="222" t="s">
        <v>961</v>
      </c>
      <c r="B295" s="86" t="s">
        <v>580</v>
      </c>
      <c r="C295" s="175"/>
      <c r="D295" s="175"/>
    </row>
    <row r="296" spans="1:4" x14ac:dyDescent="0.3">
      <c r="A296" s="222" t="s">
        <v>961</v>
      </c>
      <c r="B296" s="86" t="s">
        <v>581</v>
      </c>
      <c r="C296" s="175">
        <v>1</v>
      </c>
      <c r="D296" s="175"/>
    </row>
    <row r="297" spans="1:4" x14ac:dyDescent="0.3">
      <c r="A297" s="222" t="s">
        <v>961</v>
      </c>
      <c r="B297" s="86" t="s">
        <v>582</v>
      </c>
      <c r="C297" s="175"/>
      <c r="D297" s="175"/>
    </row>
    <row r="298" spans="1:4" x14ac:dyDescent="0.3">
      <c r="A298" s="222" t="s">
        <v>961</v>
      </c>
      <c r="B298" s="86" t="s">
        <v>583</v>
      </c>
      <c r="C298" s="175"/>
      <c r="D298" s="175"/>
    </row>
    <row r="299" spans="1:4" x14ac:dyDescent="0.3">
      <c r="A299" s="222" t="s">
        <v>961</v>
      </c>
      <c r="B299" s="86" t="s">
        <v>584</v>
      </c>
      <c r="C299" s="175"/>
      <c r="D299" s="175"/>
    </row>
    <row r="300" spans="1:4" x14ac:dyDescent="0.3">
      <c r="A300" s="222" t="s">
        <v>961</v>
      </c>
      <c r="B300" s="86" t="s">
        <v>585</v>
      </c>
      <c r="C300" s="175"/>
      <c r="D300" s="175"/>
    </row>
    <row r="301" spans="1:4" x14ac:dyDescent="0.3">
      <c r="A301" s="222" t="s">
        <v>961</v>
      </c>
      <c r="B301" s="86" t="s">
        <v>586</v>
      </c>
      <c r="C301" s="175"/>
      <c r="D301" s="175">
        <v>1</v>
      </c>
    </row>
    <row r="302" spans="1:4" x14ac:dyDescent="0.3">
      <c r="A302" s="222" t="s">
        <v>961</v>
      </c>
      <c r="B302" s="86" t="s">
        <v>587</v>
      </c>
      <c r="C302" s="175"/>
      <c r="D302" s="175"/>
    </row>
    <row r="303" spans="1:4" x14ac:dyDescent="0.3">
      <c r="A303" s="222" t="s">
        <v>961</v>
      </c>
      <c r="B303" s="86" t="s">
        <v>588</v>
      </c>
      <c r="C303" s="175"/>
      <c r="D303" s="175"/>
    </row>
    <row r="304" spans="1:4" x14ac:dyDescent="0.3">
      <c r="A304" s="222" t="s">
        <v>961</v>
      </c>
      <c r="B304" s="86" t="s">
        <v>589</v>
      </c>
      <c r="C304" s="175"/>
      <c r="D304" s="175"/>
    </row>
    <row r="305" spans="1:4" x14ac:dyDescent="0.3">
      <c r="A305" s="222" t="s">
        <v>961</v>
      </c>
      <c r="B305" s="86" t="s">
        <v>590</v>
      </c>
      <c r="C305" s="175"/>
      <c r="D305" s="175">
        <v>1</v>
      </c>
    </row>
    <row r="306" spans="1:4" x14ac:dyDescent="0.3">
      <c r="A306" s="222" t="s">
        <v>961</v>
      </c>
      <c r="B306" s="86" t="s">
        <v>591</v>
      </c>
      <c r="C306" s="175"/>
      <c r="D306" s="175"/>
    </row>
    <row r="307" spans="1:4" x14ac:dyDescent="0.3">
      <c r="A307" s="222" t="s">
        <v>961</v>
      </c>
      <c r="B307" s="86" t="s">
        <v>592</v>
      </c>
      <c r="C307" s="175"/>
      <c r="D307" s="175"/>
    </row>
    <row r="308" spans="1:4" x14ac:dyDescent="0.3">
      <c r="A308" s="222" t="s">
        <v>961</v>
      </c>
      <c r="B308" s="86" t="s">
        <v>593</v>
      </c>
      <c r="C308" s="175"/>
      <c r="D308" s="175"/>
    </row>
    <row r="309" spans="1:4" x14ac:dyDescent="0.3">
      <c r="A309" s="222" t="s">
        <v>961</v>
      </c>
      <c r="B309" s="86" t="s">
        <v>594</v>
      </c>
      <c r="C309" s="175"/>
      <c r="D309" s="175"/>
    </row>
    <row r="310" spans="1:4" x14ac:dyDescent="0.3">
      <c r="A310" s="222" t="s">
        <v>961</v>
      </c>
      <c r="B310" s="86" t="s">
        <v>595</v>
      </c>
      <c r="C310" s="175"/>
      <c r="D310" s="175"/>
    </row>
    <row r="311" spans="1:4" x14ac:dyDescent="0.3">
      <c r="A311" s="222" t="s">
        <v>961</v>
      </c>
      <c r="B311" s="86" t="s">
        <v>596</v>
      </c>
      <c r="C311" s="175"/>
      <c r="D311" s="175"/>
    </row>
    <row r="312" spans="1:4" x14ac:dyDescent="0.3">
      <c r="A312" s="222" t="s">
        <v>961</v>
      </c>
      <c r="B312" s="86" t="s">
        <v>597</v>
      </c>
      <c r="C312" s="175"/>
      <c r="D312" s="175"/>
    </row>
    <row r="313" spans="1:4" x14ac:dyDescent="0.3">
      <c r="A313" s="222" t="s">
        <v>961</v>
      </c>
      <c r="B313" s="86" t="s">
        <v>598</v>
      </c>
      <c r="C313" s="175"/>
      <c r="D313" s="175"/>
    </row>
    <row r="314" spans="1:4" x14ac:dyDescent="0.3">
      <c r="A314" s="222" t="s">
        <v>961</v>
      </c>
      <c r="B314" s="86" t="s">
        <v>599</v>
      </c>
      <c r="C314" s="175"/>
      <c r="D314" s="175"/>
    </row>
    <row r="315" spans="1:4" x14ac:dyDescent="0.3">
      <c r="A315" s="222" t="s">
        <v>961</v>
      </c>
      <c r="B315" s="86" t="s">
        <v>600</v>
      </c>
      <c r="C315" s="175"/>
      <c r="D315" s="175"/>
    </row>
    <row r="316" spans="1:4" x14ac:dyDescent="0.3">
      <c r="A316" s="222" t="s">
        <v>961</v>
      </c>
      <c r="B316" s="86" t="s">
        <v>601</v>
      </c>
      <c r="C316" s="175"/>
      <c r="D316" s="175"/>
    </row>
    <row r="317" spans="1:4" x14ac:dyDescent="0.3">
      <c r="A317" s="222" t="s">
        <v>961</v>
      </c>
      <c r="B317" s="86" t="s">
        <v>602</v>
      </c>
      <c r="C317" s="175"/>
      <c r="D317" s="175"/>
    </row>
    <row r="318" spans="1:4" x14ac:dyDescent="0.3">
      <c r="A318" s="222" t="s">
        <v>961</v>
      </c>
      <c r="B318" s="86" t="s">
        <v>603</v>
      </c>
      <c r="C318" s="175"/>
      <c r="D318" s="175"/>
    </row>
    <row r="319" spans="1:4" x14ac:dyDescent="0.3">
      <c r="A319" s="222" t="s">
        <v>961</v>
      </c>
      <c r="B319" s="86" t="s">
        <v>604</v>
      </c>
      <c r="C319" s="175"/>
      <c r="D319" s="175"/>
    </row>
    <row r="320" spans="1:4" x14ac:dyDescent="0.3">
      <c r="A320" s="222" t="s">
        <v>961</v>
      </c>
      <c r="B320" s="86" t="s">
        <v>605</v>
      </c>
      <c r="C320" s="175"/>
      <c r="D320" s="175"/>
    </row>
    <row r="321" spans="1:4" x14ac:dyDescent="0.3">
      <c r="A321" s="222" t="s">
        <v>961</v>
      </c>
      <c r="B321" s="86" t="s">
        <v>606</v>
      </c>
      <c r="C321" s="175"/>
      <c r="D321" s="175"/>
    </row>
    <row r="322" spans="1:4" x14ac:dyDescent="0.3">
      <c r="A322" s="222" t="s">
        <v>961</v>
      </c>
      <c r="B322" s="86" t="s">
        <v>607</v>
      </c>
      <c r="C322" s="175"/>
      <c r="D322" s="175"/>
    </row>
    <row r="323" spans="1:4" x14ac:dyDescent="0.3">
      <c r="A323" s="222" t="s">
        <v>961</v>
      </c>
      <c r="B323" s="86" t="s">
        <v>608</v>
      </c>
      <c r="C323" s="175"/>
      <c r="D323" s="175"/>
    </row>
    <row r="324" spans="1:4" x14ac:dyDescent="0.3">
      <c r="A324" s="222" t="s">
        <v>961</v>
      </c>
      <c r="B324" s="86" t="s">
        <v>609</v>
      </c>
      <c r="C324" s="175"/>
      <c r="D324" s="175"/>
    </row>
    <row r="325" spans="1:4" x14ac:dyDescent="0.3">
      <c r="A325" s="222" t="s">
        <v>961</v>
      </c>
      <c r="B325" s="86" t="s">
        <v>610</v>
      </c>
      <c r="C325" s="175"/>
      <c r="D325" s="175"/>
    </row>
    <row r="326" spans="1:4" x14ac:dyDescent="0.3">
      <c r="A326" s="222" t="s">
        <v>961</v>
      </c>
      <c r="B326" s="86" t="s">
        <v>611</v>
      </c>
      <c r="C326" s="175"/>
      <c r="D326" s="175"/>
    </row>
    <row r="327" spans="1:4" x14ac:dyDescent="0.3">
      <c r="A327" s="222" t="s">
        <v>961</v>
      </c>
      <c r="B327" s="86" t="s">
        <v>612</v>
      </c>
      <c r="C327" s="175"/>
      <c r="D327" s="175"/>
    </row>
    <row r="328" spans="1:4" x14ac:dyDescent="0.3">
      <c r="A328" s="222" t="s">
        <v>961</v>
      </c>
      <c r="B328" s="86" t="s">
        <v>613</v>
      </c>
      <c r="C328" s="175"/>
      <c r="D328" s="175"/>
    </row>
    <row r="329" spans="1:4" x14ac:dyDescent="0.3">
      <c r="A329" s="222" t="s">
        <v>961</v>
      </c>
      <c r="B329" s="86" t="s">
        <v>614</v>
      </c>
      <c r="C329" s="175"/>
      <c r="D329" s="175"/>
    </row>
    <row r="330" spans="1:4" x14ac:dyDescent="0.3">
      <c r="A330" s="222" t="s">
        <v>961</v>
      </c>
      <c r="B330" s="86" t="s">
        <v>615</v>
      </c>
      <c r="C330" s="175"/>
      <c r="D330" s="175"/>
    </row>
    <row r="331" spans="1:4" x14ac:dyDescent="0.3">
      <c r="A331" s="222" t="s">
        <v>961</v>
      </c>
      <c r="B331" s="86" t="s">
        <v>616</v>
      </c>
      <c r="C331" s="175"/>
      <c r="D331" s="175"/>
    </row>
    <row r="332" spans="1:4" x14ac:dyDescent="0.3">
      <c r="A332" s="222" t="s">
        <v>961</v>
      </c>
      <c r="B332" s="86" t="s">
        <v>617</v>
      </c>
      <c r="C332" s="175"/>
      <c r="D332" s="175"/>
    </row>
    <row r="333" spans="1:4" x14ac:dyDescent="0.3">
      <c r="A333" s="222" t="s">
        <v>961</v>
      </c>
      <c r="B333" s="86" t="s">
        <v>618</v>
      </c>
      <c r="C333" s="175"/>
      <c r="D333" s="175"/>
    </row>
    <row r="334" spans="1:4" x14ac:dyDescent="0.3">
      <c r="A334" s="222" t="s">
        <v>961</v>
      </c>
      <c r="B334" s="86" t="s">
        <v>619</v>
      </c>
      <c r="C334" s="175"/>
      <c r="D334" s="175"/>
    </row>
    <row r="335" spans="1:4" x14ac:dyDescent="0.3">
      <c r="A335" s="222" t="s">
        <v>961</v>
      </c>
      <c r="B335" s="86" t="s">
        <v>620</v>
      </c>
      <c r="C335" s="175"/>
      <c r="D335" s="175"/>
    </row>
    <row r="336" spans="1:4" x14ac:dyDescent="0.3">
      <c r="A336" s="222" t="s">
        <v>961</v>
      </c>
      <c r="B336" s="86" t="s">
        <v>621</v>
      </c>
      <c r="C336" s="175"/>
      <c r="D336" s="175"/>
    </row>
    <row r="337" spans="1:4" x14ac:dyDescent="0.3">
      <c r="A337" s="222" t="s">
        <v>961</v>
      </c>
      <c r="B337" s="86" t="s">
        <v>622</v>
      </c>
      <c r="C337" s="175"/>
      <c r="D337" s="175"/>
    </row>
    <row r="338" spans="1:4" x14ac:dyDescent="0.3">
      <c r="A338" s="222" t="s">
        <v>961</v>
      </c>
      <c r="B338" s="86" t="s">
        <v>623</v>
      </c>
      <c r="C338" s="175"/>
      <c r="D338" s="175"/>
    </row>
    <row r="339" spans="1:4" x14ac:dyDescent="0.3">
      <c r="A339" s="222" t="s">
        <v>961</v>
      </c>
      <c r="B339" s="86" t="s">
        <v>624</v>
      </c>
      <c r="C339" s="175"/>
      <c r="D339" s="175"/>
    </row>
    <row r="340" spans="1:4" x14ac:dyDescent="0.3">
      <c r="A340" s="222" t="s">
        <v>961</v>
      </c>
      <c r="B340" s="86" t="s">
        <v>625</v>
      </c>
      <c r="C340" s="175"/>
      <c r="D340" s="175"/>
    </row>
    <row r="341" spans="1:4" x14ac:dyDescent="0.3">
      <c r="A341" s="222" t="s">
        <v>961</v>
      </c>
      <c r="B341" s="86" t="s">
        <v>626</v>
      </c>
      <c r="C341" s="175"/>
      <c r="D341" s="175"/>
    </row>
    <row r="342" spans="1:4" x14ac:dyDescent="0.3">
      <c r="A342" s="222" t="s">
        <v>961</v>
      </c>
      <c r="B342" s="86" t="s">
        <v>627</v>
      </c>
      <c r="C342" s="175"/>
      <c r="D342" s="175"/>
    </row>
    <row r="343" spans="1:4" x14ac:dyDescent="0.3">
      <c r="A343" s="222" t="s">
        <v>961</v>
      </c>
      <c r="B343" s="86" t="s">
        <v>628</v>
      </c>
      <c r="C343" s="175"/>
      <c r="D343" s="175"/>
    </row>
    <row r="344" spans="1:4" x14ac:dyDescent="0.3">
      <c r="A344" s="222" t="s">
        <v>961</v>
      </c>
      <c r="B344" s="86" t="s">
        <v>629</v>
      </c>
      <c r="C344" s="175"/>
      <c r="D344" s="175"/>
    </row>
    <row r="345" spans="1:4" x14ac:dyDescent="0.3">
      <c r="A345" s="222" t="s">
        <v>961</v>
      </c>
      <c r="B345" s="86" t="s">
        <v>630</v>
      </c>
      <c r="C345" s="175"/>
      <c r="D345" s="175"/>
    </row>
    <row r="346" spans="1:4" x14ac:dyDescent="0.3">
      <c r="A346" s="222" t="s">
        <v>961</v>
      </c>
      <c r="B346" s="86" t="s">
        <v>631</v>
      </c>
      <c r="C346" s="175"/>
      <c r="D346" s="175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5C095-B89E-4232-8E2F-1FFBFA4EFAC0}">
  <sheetPr codeName="Sheet5">
    <tabColor theme="1"/>
  </sheetPr>
  <dimension ref="A3:T109"/>
  <sheetViews>
    <sheetView topLeftCell="A68" zoomScale="71" zoomScaleNormal="71" workbookViewId="0">
      <selection activeCell="O91" sqref="O91"/>
    </sheetView>
  </sheetViews>
  <sheetFormatPr defaultRowHeight="16.5" x14ac:dyDescent="0.3"/>
  <cols>
    <col min="1" max="1" width="5.625" style="4" customWidth="1"/>
    <col min="2" max="2" width="18.25" style="4" hidden="1" customWidth="1"/>
    <col min="3" max="3" width="16.375" style="4" bestFit="1" customWidth="1"/>
    <col min="4" max="4" width="16.75" style="4" hidden="1" customWidth="1"/>
    <col min="5" max="5" width="11.25" style="4" hidden="1" customWidth="1"/>
    <col min="6" max="6" width="1.625" style="4" hidden="1" customWidth="1"/>
    <col min="7" max="8" width="11.625" style="4" hidden="1" customWidth="1"/>
    <col min="9" max="9" width="44.125" style="4" hidden="1" customWidth="1"/>
    <col min="10" max="10" width="40.625" style="4" hidden="1" customWidth="1"/>
    <col min="11" max="14" width="9" style="4" customWidth="1"/>
    <col min="15" max="16384" width="9" style="4"/>
  </cols>
  <sheetData>
    <row r="3" spans="1:20" ht="34.5" x14ac:dyDescent="0.3">
      <c r="A3" s="19" t="s">
        <v>244</v>
      </c>
      <c r="B3" s="20" t="s">
        <v>245</v>
      </c>
      <c r="C3" s="20" t="s">
        <v>246</v>
      </c>
      <c r="D3" s="20" t="s">
        <v>247</v>
      </c>
      <c r="E3" s="21" t="s">
        <v>248</v>
      </c>
      <c r="F3" s="22" t="s">
        <v>249</v>
      </c>
      <c r="G3" s="21" t="s">
        <v>250</v>
      </c>
      <c r="H3" s="21" t="s">
        <v>251</v>
      </c>
      <c r="I3" s="20" t="s">
        <v>252</v>
      </c>
      <c r="J3" s="21" t="s">
        <v>253</v>
      </c>
      <c r="K3" s="23" t="s">
        <v>254</v>
      </c>
      <c r="L3" s="23" t="s">
        <v>255</v>
      </c>
      <c r="M3" s="23" t="s">
        <v>256</v>
      </c>
      <c r="N3" s="24" t="s">
        <v>257</v>
      </c>
      <c r="O3" s="23" t="s">
        <v>172</v>
      </c>
      <c r="P3" s="23" t="s">
        <v>546</v>
      </c>
    </row>
    <row r="4" spans="1:20" ht="17.25" x14ac:dyDescent="0.3">
      <c r="A4" s="25">
        <v>1</v>
      </c>
      <c r="B4" s="26" t="s">
        <v>258</v>
      </c>
      <c r="C4" s="26" t="s">
        <v>259</v>
      </c>
      <c r="D4" s="27" t="s">
        <v>260</v>
      </c>
      <c r="E4" s="28" t="s">
        <v>261</v>
      </c>
      <c r="F4" s="29"/>
      <c r="G4" s="28" t="s">
        <v>262</v>
      </c>
      <c r="H4" s="30" t="s">
        <v>263</v>
      </c>
      <c r="I4" s="26" t="s">
        <v>264</v>
      </c>
      <c r="J4" s="26" t="s">
        <v>265</v>
      </c>
      <c r="K4" s="26">
        <v>98</v>
      </c>
      <c r="L4" s="26">
        <v>33</v>
      </c>
      <c r="M4" s="26">
        <v>85</v>
      </c>
      <c r="N4" s="31">
        <v>108</v>
      </c>
      <c r="O4" s="81">
        <v>1</v>
      </c>
      <c r="P4" s="81" t="s">
        <v>547</v>
      </c>
    </row>
    <row r="5" spans="1:20" ht="17.25" x14ac:dyDescent="0.3">
      <c r="A5" s="25">
        <v>2</v>
      </c>
      <c r="B5" s="26" t="s">
        <v>258</v>
      </c>
      <c r="C5" s="26" t="s">
        <v>266</v>
      </c>
      <c r="D5" s="27" t="s">
        <v>260</v>
      </c>
      <c r="E5" s="28" t="s">
        <v>261</v>
      </c>
      <c r="F5" s="32"/>
      <c r="G5" s="27" t="s">
        <v>260</v>
      </c>
      <c r="H5" s="27" t="s">
        <v>260</v>
      </c>
      <c r="I5" s="33" t="s">
        <v>267</v>
      </c>
      <c r="J5" s="33" t="s">
        <v>267</v>
      </c>
      <c r="K5" s="26">
        <v>99</v>
      </c>
      <c r="L5" s="26">
        <v>82</v>
      </c>
      <c r="M5" s="26">
        <v>89</v>
      </c>
      <c r="N5" s="31">
        <v>109</v>
      </c>
      <c r="O5" s="81">
        <v>1</v>
      </c>
      <c r="P5" s="69" t="s">
        <v>547</v>
      </c>
    </row>
    <row r="6" spans="1:20" ht="17.25" x14ac:dyDescent="0.3">
      <c r="A6" s="25">
        <v>3</v>
      </c>
      <c r="B6" s="26" t="s">
        <v>258</v>
      </c>
      <c r="C6" s="26" t="s">
        <v>268</v>
      </c>
      <c r="D6" s="28" t="s">
        <v>261</v>
      </c>
      <c r="E6" s="27" t="s">
        <v>260</v>
      </c>
      <c r="F6" s="32"/>
      <c r="G6" s="27" t="s">
        <v>260</v>
      </c>
      <c r="H6" s="28" t="s">
        <v>261</v>
      </c>
      <c r="I6" s="26" t="s">
        <v>269</v>
      </c>
      <c r="J6" s="26" t="s">
        <v>270</v>
      </c>
      <c r="K6" s="26">
        <v>97</v>
      </c>
      <c r="L6" s="26">
        <v>76</v>
      </c>
      <c r="M6" s="26">
        <v>92</v>
      </c>
      <c r="N6" s="31">
        <v>108</v>
      </c>
      <c r="O6" s="81">
        <v>1</v>
      </c>
      <c r="P6" s="69" t="s">
        <v>547</v>
      </c>
      <c r="Q6" s="26">
        <v>97</v>
      </c>
      <c r="R6" s="26">
        <v>76</v>
      </c>
      <c r="S6" s="26">
        <v>92</v>
      </c>
      <c r="T6" s="31">
        <v>90</v>
      </c>
    </row>
    <row r="7" spans="1:20" ht="17.25" x14ac:dyDescent="0.3">
      <c r="A7" s="25">
        <v>4</v>
      </c>
      <c r="B7" s="26" t="s">
        <v>258</v>
      </c>
      <c r="C7" s="26" t="s">
        <v>271</v>
      </c>
      <c r="D7" s="28" t="s">
        <v>261</v>
      </c>
      <c r="E7" s="28" t="s">
        <v>261</v>
      </c>
      <c r="F7" s="34"/>
      <c r="G7" s="30" t="s">
        <v>272</v>
      </c>
      <c r="H7" s="27" t="s">
        <v>260</v>
      </c>
      <c r="I7" s="26" t="s">
        <v>273</v>
      </c>
      <c r="J7" s="26" t="s">
        <v>273</v>
      </c>
      <c r="K7" s="26">
        <v>89</v>
      </c>
      <c r="L7" s="26">
        <v>80</v>
      </c>
      <c r="M7" s="26">
        <v>91</v>
      </c>
      <c r="N7" s="31">
        <v>111</v>
      </c>
      <c r="O7" s="81">
        <v>1</v>
      </c>
      <c r="P7" s="69" t="s">
        <v>547</v>
      </c>
    </row>
    <row r="8" spans="1:20" ht="17.25" x14ac:dyDescent="0.3">
      <c r="A8" s="25">
        <v>5</v>
      </c>
      <c r="B8" s="26" t="s">
        <v>274</v>
      </c>
      <c r="C8" s="26" t="s">
        <v>275</v>
      </c>
      <c r="D8" s="26" t="s">
        <v>276</v>
      </c>
      <c r="E8" s="27" t="s">
        <v>260</v>
      </c>
      <c r="F8" s="29"/>
      <c r="G8" s="28" t="s">
        <v>261</v>
      </c>
      <c r="H8" s="27" t="s">
        <v>260</v>
      </c>
      <c r="I8" s="26" t="s">
        <v>277</v>
      </c>
      <c r="J8" s="26" t="s">
        <v>277</v>
      </c>
      <c r="K8" s="26">
        <v>46</v>
      </c>
      <c r="L8" s="26">
        <v>100</v>
      </c>
      <c r="M8" s="26">
        <v>86</v>
      </c>
      <c r="N8" s="31">
        <v>99</v>
      </c>
      <c r="O8" s="81">
        <v>1</v>
      </c>
      <c r="P8" s="69" t="s">
        <v>547</v>
      </c>
    </row>
    <row r="9" spans="1:20" ht="17.25" x14ac:dyDescent="0.3">
      <c r="A9" s="25">
        <v>6</v>
      </c>
      <c r="B9" s="26" t="s">
        <v>278</v>
      </c>
      <c r="C9" s="26" t="s">
        <v>279</v>
      </c>
      <c r="D9" s="30" t="s">
        <v>272</v>
      </c>
      <c r="E9" s="27" t="s">
        <v>260</v>
      </c>
      <c r="F9" s="34"/>
      <c r="G9" s="30" t="s">
        <v>263</v>
      </c>
      <c r="H9" s="30" t="s">
        <v>280</v>
      </c>
      <c r="I9" s="26" t="s">
        <v>281</v>
      </c>
      <c r="J9" s="26" t="s">
        <v>270</v>
      </c>
      <c r="K9" s="26">
        <v>98</v>
      </c>
      <c r="L9" s="26">
        <v>44</v>
      </c>
      <c r="M9" s="26">
        <v>92</v>
      </c>
      <c r="N9" s="31">
        <v>106</v>
      </c>
      <c r="O9" s="81">
        <v>1</v>
      </c>
      <c r="P9" s="69" t="s">
        <v>547</v>
      </c>
    </row>
    <row r="10" spans="1:20" ht="17.25" x14ac:dyDescent="0.3">
      <c r="A10" s="25">
        <v>7</v>
      </c>
      <c r="B10" s="26" t="s">
        <v>278</v>
      </c>
      <c r="C10" s="26" t="s">
        <v>282</v>
      </c>
      <c r="D10" s="30" t="s">
        <v>272</v>
      </c>
      <c r="E10" s="30" t="s">
        <v>272</v>
      </c>
      <c r="F10" s="34"/>
      <c r="G10" s="30" t="s">
        <v>272</v>
      </c>
      <c r="H10" s="27" t="s">
        <v>260</v>
      </c>
      <c r="I10" s="26" t="s">
        <v>283</v>
      </c>
      <c r="J10" s="26" t="s">
        <v>284</v>
      </c>
      <c r="K10" s="26">
        <v>96</v>
      </c>
      <c r="L10" s="26">
        <v>63</v>
      </c>
      <c r="M10" s="26">
        <v>87</v>
      </c>
      <c r="N10" s="31">
        <v>108</v>
      </c>
      <c r="O10" s="81">
        <v>1</v>
      </c>
      <c r="P10" s="69" t="s">
        <v>547</v>
      </c>
    </row>
    <row r="11" spans="1:20" ht="17.25" x14ac:dyDescent="0.3">
      <c r="A11" s="25">
        <v>8</v>
      </c>
      <c r="B11" s="26" t="s">
        <v>278</v>
      </c>
      <c r="C11" s="26" t="s">
        <v>285</v>
      </c>
      <c r="D11" s="26" t="s">
        <v>286</v>
      </c>
      <c r="E11" s="30" t="s">
        <v>272</v>
      </c>
      <c r="F11" s="34"/>
      <c r="G11" s="30" t="s">
        <v>272</v>
      </c>
      <c r="H11" s="27" t="s">
        <v>260</v>
      </c>
      <c r="I11" s="26" t="s">
        <v>287</v>
      </c>
      <c r="J11" s="26" t="s">
        <v>288</v>
      </c>
      <c r="K11" s="26">
        <v>64</v>
      </c>
      <c r="L11" s="26">
        <v>99</v>
      </c>
      <c r="M11" s="26">
        <v>87</v>
      </c>
      <c r="N11" s="31">
        <v>93</v>
      </c>
      <c r="O11" s="81">
        <v>1</v>
      </c>
      <c r="P11" s="69" t="s">
        <v>547</v>
      </c>
    </row>
    <row r="12" spans="1:20" ht="17.25" x14ac:dyDescent="0.3">
      <c r="A12" s="25">
        <v>9</v>
      </c>
      <c r="B12" s="26" t="s">
        <v>289</v>
      </c>
      <c r="C12" s="26" t="s">
        <v>290</v>
      </c>
      <c r="D12" s="30" t="s">
        <v>272</v>
      </c>
      <c r="E12" s="30" t="s">
        <v>272</v>
      </c>
      <c r="F12" s="34"/>
      <c r="G12" s="27" t="s">
        <v>260</v>
      </c>
      <c r="H12" s="30" t="s">
        <v>272</v>
      </c>
      <c r="I12" s="26" t="s">
        <v>291</v>
      </c>
      <c r="J12" s="26" t="s">
        <v>291</v>
      </c>
      <c r="K12" s="26">
        <v>72</v>
      </c>
      <c r="L12" s="26">
        <v>93</v>
      </c>
      <c r="M12" s="26">
        <v>88</v>
      </c>
      <c r="N12" s="31">
        <v>92</v>
      </c>
      <c r="O12" s="69">
        <v>2</v>
      </c>
      <c r="P12" s="69" t="s">
        <v>547</v>
      </c>
    </row>
    <row r="13" spans="1:20" ht="17.25" x14ac:dyDescent="0.3">
      <c r="A13" s="25">
        <v>10</v>
      </c>
      <c r="B13" s="26" t="s">
        <v>289</v>
      </c>
      <c r="C13" s="26" t="s">
        <v>292</v>
      </c>
      <c r="D13" s="27" t="s">
        <v>260</v>
      </c>
      <c r="E13" s="30" t="s">
        <v>272</v>
      </c>
      <c r="F13" s="34"/>
      <c r="G13" s="27" t="s">
        <v>260</v>
      </c>
      <c r="H13" s="30" t="s">
        <v>272</v>
      </c>
      <c r="I13" s="26" t="s">
        <v>293</v>
      </c>
      <c r="J13" s="26" t="s">
        <v>294</v>
      </c>
      <c r="K13" s="26">
        <v>93</v>
      </c>
      <c r="L13" s="26">
        <v>76</v>
      </c>
      <c r="M13" s="26">
        <v>92</v>
      </c>
      <c r="N13" s="31">
        <v>112</v>
      </c>
      <c r="O13" s="69">
        <v>2</v>
      </c>
      <c r="P13" s="69" t="s">
        <v>547</v>
      </c>
    </row>
    <row r="14" spans="1:20" ht="19.5" customHeight="1" x14ac:dyDescent="0.3">
      <c r="A14" s="25">
        <v>11</v>
      </c>
      <c r="B14" s="26" t="s">
        <v>289</v>
      </c>
      <c r="C14" s="26" t="s">
        <v>295</v>
      </c>
      <c r="D14" s="35" t="s">
        <v>296</v>
      </c>
      <c r="E14" s="27" t="s">
        <v>260</v>
      </c>
      <c r="F14" s="34"/>
      <c r="G14" s="27" t="s">
        <v>260</v>
      </c>
      <c r="H14" s="28" t="s">
        <v>261</v>
      </c>
      <c r="I14" s="26" t="s">
        <v>297</v>
      </c>
      <c r="J14" s="26" t="s">
        <v>297</v>
      </c>
      <c r="K14" s="26">
        <v>94</v>
      </c>
      <c r="L14" s="26">
        <v>92</v>
      </c>
      <c r="M14" s="26">
        <v>91</v>
      </c>
      <c r="N14" s="31">
        <v>112</v>
      </c>
      <c r="O14" s="69">
        <v>1</v>
      </c>
      <c r="P14" s="69" t="s">
        <v>547</v>
      </c>
    </row>
    <row r="15" spans="1:20" ht="17.25" x14ac:dyDescent="0.3">
      <c r="A15" s="25">
        <v>12</v>
      </c>
      <c r="B15" s="26" t="s">
        <v>289</v>
      </c>
      <c r="C15" s="26" t="s">
        <v>298</v>
      </c>
      <c r="D15" s="26" t="s">
        <v>299</v>
      </c>
      <c r="E15" s="30" t="s">
        <v>272</v>
      </c>
      <c r="F15" s="34"/>
      <c r="G15" s="30" t="s">
        <v>272</v>
      </c>
      <c r="H15" s="30" t="s">
        <v>272</v>
      </c>
      <c r="I15" s="26" t="s">
        <v>300</v>
      </c>
      <c r="J15" s="26" t="s">
        <v>270</v>
      </c>
      <c r="K15" s="26">
        <v>47</v>
      </c>
      <c r="L15" s="26">
        <v>96</v>
      </c>
      <c r="M15" s="26">
        <v>87</v>
      </c>
      <c r="N15" s="31">
        <v>90</v>
      </c>
      <c r="O15" s="69">
        <v>1</v>
      </c>
      <c r="P15" s="69" t="s">
        <v>547</v>
      </c>
    </row>
    <row r="16" spans="1:20" ht="17.25" x14ac:dyDescent="0.3">
      <c r="A16" s="25">
        <v>13</v>
      </c>
      <c r="B16" s="36" t="s">
        <v>301</v>
      </c>
      <c r="C16" s="36" t="s">
        <v>302</v>
      </c>
      <c r="D16" s="36" t="s">
        <v>303</v>
      </c>
      <c r="E16" s="37" t="s">
        <v>272</v>
      </c>
      <c r="F16" s="34"/>
      <c r="G16" s="37" t="s">
        <v>272</v>
      </c>
      <c r="H16" s="36" t="s">
        <v>304</v>
      </c>
      <c r="I16" s="36" t="s">
        <v>305</v>
      </c>
      <c r="J16" s="36" t="s">
        <v>305</v>
      </c>
      <c r="K16" s="36">
        <v>64</v>
      </c>
      <c r="L16" s="36">
        <v>92</v>
      </c>
      <c r="M16" s="36">
        <v>69</v>
      </c>
      <c r="N16" s="38">
        <v>66</v>
      </c>
      <c r="O16" s="69">
        <v>1</v>
      </c>
      <c r="P16" s="69" t="s">
        <v>547</v>
      </c>
    </row>
    <row r="17" spans="1:20" ht="17.25" x14ac:dyDescent="0.3">
      <c r="A17" s="25">
        <v>14</v>
      </c>
      <c r="B17" s="36" t="s">
        <v>301</v>
      </c>
      <c r="C17" s="36" t="s">
        <v>306</v>
      </c>
      <c r="D17" s="36" t="s">
        <v>303</v>
      </c>
      <c r="E17" s="39" t="s">
        <v>260</v>
      </c>
      <c r="F17" s="34"/>
      <c r="G17" s="37" t="s">
        <v>272</v>
      </c>
      <c r="H17" s="36" t="s">
        <v>304</v>
      </c>
      <c r="I17" s="36" t="s">
        <v>307</v>
      </c>
      <c r="J17" s="36" t="s">
        <v>308</v>
      </c>
      <c r="K17" s="36">
        <v>92</v>
      </c>
      <c r="L17" s="36">
        <v>69</v>
      </c>
      <c r="M17" s="36">
        <v>81</v>
      </c>
      <c r="N17" s="38">
        <v>85</v>
      </c>
      <c r="O17" s="69">
        <v>1</v>
      </c>
      <c r="P17" s="69" t="s">
        <v>547</v>
      </c>
    </row>
    <row r="18" spans="1:20" ht="17.25" x14ac:dyDescent="0.3">
      <c r="A18" s="25">
        <v>15</v>
      </c>
      <c r="B18" s="36" t="s">
        <v>301</v>
      </c>
      <c r="C18" s="36" t="s">
        <v>309</v>
      </c>
      <c r="D18" s="40" t="s">
        <v>261</v>
      </c>
      <c r="E18" s="40" t="s">
        <v>261</v>
      </c>
      <c r="F18" s="34"/>
      <c r="G18" s="37" t="s">
        <v>272</v>
      </c>
      <c r="H18" s="36" t="s">
        <v>304</v>
      </c>
      <c r="I18" s="41" t="s">
        <v>310</v>
      </c>
      <c r="J18" s="36" t="s">
        <v>308</v>
      </c>
      <c r="K18" s="36">
        <v>86</v>
      </c>
      <c r="L18" s="36">
        <v>42</v>
      </c>
      <c r="M18" s="36">
        <v>79</v>
      </c>
      <c r="N18" s="38">
        <v>93</v>
      </c>
      <c r="O18" s="69">
        <v>1</v>
      </c>
      <c r="P18" s="69" t="s">
        <v>547</v>
      </c>
    </row>
    <row r="19" spans="1:20" ht="17.25" x14ac:dyDescent="0.3">
      <c r="A19" s="25">
        <v>16</v>
      </c>
      <c r="B19" s="42" t="s">
        <v>311</v>
      </c>
      <c r="C19" s="42" t="s">
        <v>312</v>
      </c>
      <c r="D19" s="43" t="s">
        <v>260</v>
      </c>
      <c r="E19" s="44" t="s">
        <v>261</v>
      </c>
      <c r="F19" s="45"/>
      <c r="G19" s="42" t="s">
        <v>304</v>
      </c>
      <c r="H19" s="42" t="s">
        <v>304</v>
      </c>
      <c r="I19" s="42" t="s">
        <v>304</v>
      </c>
      <c r="J19" s="42" t="s">
        <v>304</v>
      </c>
      <c r="K19" s="42">
        <v>89</v>
      </c>
      <c r="L19" s="42">
        <v>78</v>
      </c>
      <c r="M19" s="42">
        <v>79</v>
      </c>
      <c r="N19" s="46">
        <v>86</v>
      </c>
      <c r="O19" s="69">
        <v>1</v>
      </c>
      <c r="P19" s="69" t="s">
        <v>547</v>
      </c>
    </row>
    <row r="20" spans="1:20" ht="17.25" x14ac:dyDescent="0.3">
      <c r="A20" s="25">
        <v>17</v>
      </c>
      <c r="B20" s="42" t="s">
        <v>311</v>
      </c>
      <c r="C20" s="42" t="s">
        <v>313</v>
      </c>
      <c r="D20" s="43" t="s">
        <v>260</v>
      </c>
      <c r="E20" s="44" t="s">
        <v>261</v>
      </c>
      <c r="F20" s="45"/>
      <c r="G20" s="42" t="s">
        <v>304</v>
      </c>
      <c r="H20" s="42" t="s">
        <v>304</v>
      </c>
      <c r="I20" s="42" t="s">
        <v>304</v>
      </c>
      <c r="J20" s="42" t="s">
        <v>304</v>
      </c>
      <c r="K20" s="42">
        <v>26</v>
      </c>
      <c r="L20" s="42">
        <v>92</v>
      </c>
      <c r="M20" s="42">
        <v>65</v>
      </c>
      <c r="N20" s="46">
        <v>66</v>
      </c>
      <c r="O20" s="69">
        <v>1</v>
      </c>
      <c r="P20" s="69" t="s">
        <v>547</v>
      </c>
    </row>
    <row r="21" spans="1:20" ht="17.25" x14ac:dyDescent="0.3">
      <c r="A21" s="25">
        <v>18</v>
      </c>
      <c r="B21" s="42" t="s">
        <v>314</v>
      </c>
      <c r="C21" s="42" t="s">
        <v>315</v>
      </c>
      <c r="D21" s="42" t="s">
        <v>304</v>
      </c>
      <c r="E21" s="43" t="s">
        <v>260</v>
      </c>
      <c r="F21" s="45"/>
      <c r="G21" s="42" t="s">
        <v>304</v>
      </c>
      <c r="H21" s="42" t="s">
        <v>304</v>
      </c>
      <c r="I21" s="42" t="s">
        <v>304</v>
      </c>
      <c r="J21" s="42" t="s">
        <v>304</v>
      </c>
      <c r="K21" s="42">
        <v>75</v>
      </c>
      <c r="L21" s="42">
        <v>67</v>
      </c>
      <c r="M21" s="42">
        <v>69</v>
      </c>
      <c r="N21" s="46">
        <v>72</v>
      </c>
      <c r="O21" s="69">
        <v>1</v>
      </c>
      <c r="P21" s="69" t="s">
        <v>547</v>
      </c>
    </row>
    <row r="22" spans="1:20" ht="17.25" x14ac:dyDescent="0.3">
      <c r="A22" s="25">
        <v>19</v>
      </c>
      <c r="B22" s="42" t="s">
        <v>314</v>
      </c>
      <c r="C22" s="42" t="s">
        <v>316</v>
      </c>
      <c r="D22" s="42" t="s">
        <v>304</v>
      </c>
      <c r="E22" s="44" t="s">
        <v>261</v>
      </c>
      <c r="F22" s="45"/>
      <c r="G22" s="42" t="s">
        <v>304</v>
      </c>
      <c r="H22" s="42" t="s">
        <v>304</v>
      </c>
      <c r="I22" s="42" t="s">
        <v>304</v>
      </c>
      <c r="J22" s="42" t="s">
        <v>304</v>
      </c>
      <c r="K22" s="42">
        <v>78</v>
      </c>
      <c r="L22" s="42">
        <v>48</v>
      </c>
      <c r="M22" s="42">
        <v>67</v>
      </c>
      <c r="N22" s="46">
        <v>71</v>
      </c>
      <c r="O22" s="69">
        <v>1</v>
      </c>
      <c r="P22" s="69" t="s">
        <v>547</v>
      </c>
    </row>
    <row r="23" spans="1:20" ht="17.25" x14ac:dyDescent="0.3">
      <c r="A23" s="25">
        <v>20</v>
      </c>
      <c r="B23" s="47" t="s">
        <v>317</v>
      </c>
      <c r="C23" s="47" t="s">
        <v>318</v>
      </c>
      <c r="D23" s="48" t="s">
        <v>261</v>
      </c>
      <c r="E23" s="48" t="s">
        <v>261</v>
      </c>
      <c r="F23" s="29"/>
      <c r="G23" s="48" t="s">
        <v>261</v>
      </c>
      <c r="H23" s="49" t="s">
        <v>260</v>
      </c>
      <c r="I23" s="47" t="s">
        <v>319</v>
      </c>
      <c r="J23" s="47" t="s">
        <v>319</v>
      </c>
      <c r="K23" s="47">
        <v>85</v>
      </c>
      <c r="L23" s="47">
        <v>94</v>
      </c>
      <c r="M23" s="47">
        <v>92</v>
      </c>
      <c r="N23" s="50">
        <v>93</v>
      </c>
      <c r="O23" s="69">
        <v>1</v>
      </c>
      <c r="P23" s="69" t="s">
        <v>243</v>
      </c>
    </row>
    <row r="24" spans="1:20" ht="17.25" x14ac:dyDescent="0.3">
      <c r="A24" s="25">
        <v>21</v>
      </c>
      <c r="B24" s="47" t="s">
        <v>317</v>
      </c>
      <c r="C24" s="47" t="s">
        <v>320</v>
      </c>
      <c r="D24" s="51" t="s">
        <v>272</v>
      </c>
      <c r="E24" s="49" t="s">
        <v>260</v>
      </c>
      <c r="F24" s="29"/>
      <c r="G24" s="48" t="s">
        <v>261</v>
      </c>
      <c r="H24" s="48" t="s">
        <v>261</v>
      </c>
      <c r="I24" s="47" t="s">
        <v>321</v>
      </c>
      <c r="J24" s="47" t="s">
        <v>270</v>
      </c>
      <c r="K24" s="47">
        <v>90</v>
      </c>
      <c r="L24" s="47">
        <v>65</v>
      </c>
      <c r="M24" s="47">
        <v>90</v>
      </c>
      <c r="N24" s="50">
        <v>111</v>
      </c>
      <c r="O24" s="69">
        <v>1</v>
      </c>
      <c r="P24" s="69" t="s">
        <v>243</v>
      </c>
      <c r="Q24" s="47">
        <v>90</v>
      </c>
      <c r="R24" s="47">
        <v>65</v>
      </c>
      <c r="S24" s="47">
        <v>90</v>
      </c>
      <c r="T24" s="50">
        <v>111</v>
      </c>
    </row>
    <row r="25" spans="1:20" ht="17.25" x14ac:dyDescent="0.3">
      <c r="A25" s="25">
        <v>22</v>
      </c>
      <c r="B25" s="47" t="s">
        <v>322</v>
      </c>
      <c r="C25" s="47" t="s">
        <v>323</v>
      </c>
      <c r="D25" s="47" t="s">
        <v>276</v>
      </c>
      <c r="E25" s="49" t="s">
        <v>260</v>
      </c>
      <c r="F25" s="32"/>
      <c r="G25" s="49" t="s">
        <v>260</v>
      </c>
      <c r="H25" s="48" t="s">
        <v>261</v>
      </c>
      <c r="I25" s="47" t="s">
        <v>324</v>
      </c>
      <c r="J25" s="47" t="s">
        <v>325</v>
      </c>
      <c r="K25" s="47">
        <v>35</v>
      </c>
      <c r="L25" s="47">
        <v>99</v>
      </c>
      <c r="M25" s="47">
        <v>91</v>
      </c>
      <c r="N25" s="50">
        <v>89</v>
      </c>
      <c r="O25" s="69">
        <v>1</v>
      </c>
      <c r="P25" s="69" t="s">
        <v>243</v>
      </c>
    </row>
    <row r="26" spans="1:20" ht="17.25" x14ac:dyDescent="0.3">
      <c r="A26" s="25">
        <v>23</v>
      </c>
      <c r="B26" s="47" t="s">
        <v>317</v>
      </c>
      <c r="C26" s="47" t="s">
        <v>326</v>
      </c>
      <c r="D26" s="51" t="s">
        <v>272</v>
      </c>
      <c r="E26" s="51" t="s">
        <v>272</v>
      </c>
      <c r="F26" s="34"/>
      <c r="G26" s="51" t="s">
        <v>272</v>
      </c>
      <c r="H26" s="51" t="s">
        <v>272</v>
      </c>
      <c r="I26" s="47" t="s">
        <v>327</v>
      </c>
      <c r="J26" s="47" t="s">
        <v>328</v>
      </c>
      <c r="K26" s="47">
        <v>95</v>
      </c>
      <c r="L26" s="47">
        <v>68</v>
      </c>
      <c r="M26" s="47">
        <v>88</v>
      </c>
      <c r="N26" s="50">
        <v>108</v>
      </c>
      <c r="O26" s="69">
        <v>1</v>
      </c>
      <c r="P26" s="69" t="s">
        <v>243</v>
      </c>
    </row>
    <row r="27" spans="1:20" ht="17.25" x14ac:dyDescent="0.3">
      <c r="A27" s="25">
        <v>24</v>
      </c>
      <c r="B27" s="47" t="s">
        <v>317</v>
      </c>
      <c r="C27" s="47" t="s">
        <v>329</v>
      </c>
      <c r="D27" s="51" t="s">
        <v>272</v>
      </c>
      <c r="E27" s="48" t="s">
        <v>261</v>
      </c>
      <c r="F27" s="34"/>
      <c r="G27" s="51" t="s">
        <v>272</v>
      </c>
      <c r="H27" s="49" t="s">
        <v>260</v>
      </c>
      <c r="I27" s="47" t="s">
        <v>330</v>
      </c>
      <c r="J27" s="47" t="s">
        <v>331</v>
      </c>
      <c r="K27" s="47">
        <v>96</v>
      </c>
      <c r="L27" s="47">
        <v>36</v>
      </c>
      <c r="M27" s="47">
        <v>85</v>
      </c>
      <c r="N27" s="50">
        <v>110</v>
      </c>
      <c r="O27" s="69">
        <v>1</v>
      </c>
      <c r="P27" s="69" t="s">
        <v>243</v>
      </c>
    </row>
    <row r="28" spans="1:20" ht="17.25" x14ac:dyDescent="0.3">
      <c r="A28" s="25">
        <v>25</v>
      </c>
      <c r="B28" s="47" t="s">
        <v>332</v>
      </c>
      <c r="C28" s="47" t="s">
        <v>333</v>
      </c>
      <c r="D28" s="51" t="s">
        <v>272</v>
      </c>
      <c r="E28" s="48" t="s">
        <v>261</v>
      </c>
      <c r="F28" s="34"/>
      <c r="G28" s="51" t="s">
        <v>272</v>
      </c>
      <c r="H28" s="48" t="s">
        <v>261</v>
      </c>
      <c r="I28" s="47" t="s">
        <v>334</v>
      </c>
      <c r="J28" s="47" t="s">
        <v>334</v>
      </c>
      <c r="K28" s="47">
        <v>98</v>
      </c>
      <c r="L28" s="47">
        <v>53</v>
      </c>
      <c r="M28" s="47">
        <v>85</v>
      </c>
      <c r="N28" s="50">
        <v>115</v>
      </c>
      <c r="O28" s="69">
        <v>1</v>
      </c>
      <c r="P28" s="69" t="s">
        <v>243</v>
      </c>
    </row>
    <row r="29" spans="1:20" ht="17.25" x14ac:dyDescent="0.3">
      <c r="A29" s="25">
        <v>26</v>
      </c>
      <c r="B29" s="47" t="s">
        <v>332</v>
      </c>
      <c r="C29" s="47" t="s">
        <v>335</v>
      </c>
      <c r="D29" s="49" t="s">
        <v>260</v>
      </c>
      <c r="E29" s="48" t="s">
        <v>261</v>
      </c>
      <c r="F29" s="34"/>
      <c r="G29" s="49" t="s">
        <v>260</v>
      </c>
      <c r="H29" s="51" t="s">
        <v>336</v>
      </c>
      <c r="I29" s="47" t="s">
        <v>337</v>
      </c>
      <c r="J29" s="47" t="s">
        <v>270</v>
      </c>
      <c r="K29" s="47">
        <v>97</v>
      </c>
      <c r="L29" s="47">
        <v>82</v>
      </c>
      <c r="M29" s="47">
        <v>92</v>
      </c>
      <c r="N29" s="50">
        <v>90</v>
      </c>
      <c r="O29" s="69">
        <v>1</v>
      </c>
      <c r="P29" s="69" t="s">
        <v>243</v>
      </c>
    </row>
    <row r="30" spans="1:20" ht="17.25" x14ac:dyDescent="0.3">
      <c r="A30" s="25">
        <v>27</v>
      </c>
      <c r="B30" s="47" t="s">
        <v>332</v>
      </c>
      <c r="C30" s="47" t="s">
        <v>679</v>
      </c>
      <c r="D30" s="48" t="s">
        <v>338</v>
      </c>
      <c r="E30" s="48" t="s">
        <v>261</v>
      </c>
      <c r="F30" s="34"/>
      <c r="G30" s="49" t="s">
        <v>260</v>
      </c>
      <c r="H30" s="48" t="s">
        <v>261</v>
      </c>
      <c r="I30" s="47" t="s">
        <v>339</v>
      </c>
      <c r="J30" s="47" t="s">
        <v>339</v>
      </c>
      <c r="K30" s="47">
        <v>45</v>
      </c>
      <c r="L30" s="47">
        <v>97</v>
      </c>
      <c r="M30" s="47">
        <v>88</v>
      </c>
      <c r="N30" s="50">
        <v>94</v>
      </c>
      <c r="O30" s="69">
        <v>1</v>
      </c>
      <c r="P30" s="69" t="s">
        <v>243</v>
      </c>
    </row>
    <row r="31" spans="1:20" ht="17.25" x14ac:dyDescent="0.3">
      <c r="A31" s="25">
        <v>28</v>
      </c>
      <c r="B31" s="47" t="s">
        <v>340</v>
      </c>
      <c r="C31" s="47" t="s">
        <v>341</v>
      </c>
      <c r="D31" s="47" t="s">
        <v>342</v>
      </c>
      <c r="E31" s="51" t="s">
        <v>272</v>
      </c>
      <c r="F31" s="34"/>
      <c r="G31" s="51" t="s">
        <v>272</v>
      </c>
      <c r="H31" s="49" t="s">
        <v>260</v>
      </c>
      <c r="I31" s="47" t="s">
        <v>343</v>
      </c>
      <c r="J31" s="47" t="s">
        <v>270</v>
      </c>
      <c r="K31" s="47">
        <v>39</v>
      </c>
      <c r="L31" s="47">
        <v>90</v>
      </c>
      <c r="M31" s="47">
        <v>92</v>
      </c>
      <c r="N31" s="50">
        <v>97</v>
      </c>
      <c r="O31" s="69">
        <v>2</v>
      </c>
      <c r="P31" s="69" t="s">
        <v>243</v>
      </c>
    </row>
    <row r="32" spans="1:20" ht="17.25" x14ac:dyDescent="0.3">
      <c r="A32" s="25">
        <v>29</v>
      </c>
      <c r="B32" s="47" t="s">
        <v>340</v>
      </c>
      <c r="C32" s="47" t="s">
        <v>344</v>
      </c>
      <c r="D32" s="49" t="s">
        <v>260</v>
      </c>
      <c r="E32" s="48" t="s">
        <v>261</v>
      </c>
      <c r="F32" s="34"/>
      <c r="G32" s="51" t="s">
        <v>272</v>
      </c>
      <c r="H32" s="48" t="s">
        <v>261</v>
      </c>
      <c r="I32" s="47" t="s">
        <v>345</v>
      </c>
      <c r="J32" s="47" t="s">
        <v>345</v>
      </c>
      <c r="K32" s="47">
        <v>87</v>
      </c>
      <c r="L32" s="47">
        <v>74</v>
      </c>
      <c r="M32" s="47">
        <v>96</v>
      </c>
      <c r="N32" s="50">
        <v>108</v>
      </c>
      <c r="O32" s="69">
        <v>1</v>
      </c>
      <c r="P32" s="69" t="s">
        <v>243</v>
      </c>
    </row>
    <row r="33" spans="1:20" ht="17.25" x14ac:dyDescent="0.3">
      <c r="A33" s="25">
        <v>30</v>
      </c>
      <c r="B33" s="47" t="s">
        <v>340</v>
      </c>
      <c r="C33" s="47" t="s">
        <v>346</v>
      </c>
      <c r="D33" s="47" t="s">
        <v>347</v>
      </c>
      <c r="E33" s="51" t="s">
        <v>272</v>
      </c>
      <c r="F33" s="34"/>
      <c r="G33" s="51" t="s">
        <v>272</v>
      </c>
      <c r="H33" s="49" t="s">
        <v>260</v>
      </c>
      <c r="I33" s="47" t="s">
        <v>348</v>
      </c>
      <c r="J33" s="47" t="s">
        <v>349</v>
      </c>
      <c r="K33" s="47">
        <v>63</v>
      </c>
      <c r="L33" s="47">
        <v>99</v>
      </c>
      <c r="M33" s="47">
        <v>90</v>
      </c>
      <c r="N33" s="50">
        <v>96</v>
      </c>
      <c r="O33" s="69">
        <v>1</v>
      </c>
      <c r="P33" s="69" t="s">
        <v>243</v>
      </c>
    </row>
    <row r="34" spans="1:20" ht="17.25" x14ac:dyDescent="0.3">
      <c r="A34" s="25">
        <v>31</v>
      </c>
      <c r="B34" s="47" t="s">
        <v>340</v>
      </c>
      <c r="C34" s="47" t="s">
        <v>350</v>
      </c>
      <c r="D34" s="48" t="s">
        <v>261</v>
      </c>
      <c r="E34" s="48" t="s">
        <v>261</v>
      </c>
      <c r="F34" s="34"/>
      <c r="G34" s="49" t="s">
        <v>260</v>
      </c>
      <c r="H34" s="48" t="s">
        <v>261</v>
      </c>
      <c r="I34" s="47" t="s">
        <v>351</v>
      </c>
      <c r="J34" s="47" t="s">
        <v>351</v>
      </c>
      <c r="K34" s="47">
        <v>93</v>
      </c>
      <c r="L34" s="47">
        <v>91</v>
      </c>
      <c r="M34" s="47">
        <v>90</v>
      </c>
      <c r="N34" s="50">
        <v>108</v>
      </c>
      <c r="O34" s="69">
        <v>1</v>
      </c>
      <c r="P34" s="69" t="s">
        <v>243</v>
      </c>
    </row>
    <row r="35" spans="1:20" ht="17.25" x14ac:dyDescent="0.3">
      <c r="A35" s="25">
        <v>32</v>
      </c>
      <c r="B35" s="47" t="s">
        <v>352</v>
      </c>
      <c r="C35" s="47" t="s">
        <v>353</v>
      </c>
      <c r="D35" s="52" t="s">
        <v>354</v>
      </c>
      <c r="E35" s="48" t="s">
        <v>261</v>
      </c>
      <c r="F35" s="34"/>
      <c r="G35" s="49" t="s">
        <v>260</v>
      </c>
      <c r="H35" s="48" t="s">
        <v>261</v>
      </c>
      <c r="I35" s="47" t="s">
        <v>355</v>
      </c>
      <c r="J35" s="47" t="s">
        <v>270</v>
      </c>
      <c r="K35" s="47"/>
      <c r="L35" s="47"/>
      <c r="M35" s="47"/>
      <c r="N35" s="50"/>
      <c r="O35" s="69">
        <v>1</v>
      </c>
      <c r="P35" s="69" t="s">
        <v>243</v>
      </c>
    </row>
    <row r="36" spans="1:20" ht="17.25" x14ac:dyDescent="0.3">
      <c r="A36" s="25">
        <v>33</v>
      </c>
      <c r="B36" s="47" t="s">
        <v>352</v>
      </c>
      <c r="C36" s="47" t="s">
        <v>356</v>
      </c>
      <c r="D36" s="48" t="s">
        <v>357</v>
      </c>
      <c r="E36" s="51" t="s">
        <v>272</v>
      </c>
      <c r="F36" s="34"/>
      <c r="G36" s="51" t="s">
        <v>272</v>
      </c>
      <c r="H36" s="48" t="s">
        <v>261</v>
      </c>
      <c r="I36" s="47" t="s">
        <v>358</v>
      </c>
      <c r="J36" s="51" t="s">
        <v>359</v>
      </c>
      <c r="K36" s="47"/>
      <c r="L36" s="47"/>
      <c r="M36" s="47"/>
      <c r="N36" s="50"/>
      <c r="O36" s="69">
        <v>1</v>
      </c>
      <c r="P36" s="69" t="s">
        <v>243</v>
      </c>
    </row>
    <row r="37" spans="1:20" ht="17.25" x14ac:dyDescent="0.3">
      <c r="A37" s="25">
        <v>34</v>
      </c>
      <c r="B37" s="47" t="s">
        <v>360</v>
      </c>
      <c r="C37" s="47" t="s">
        <v>361</v>
      </c>
      <c r="D37" s="48"/>
      <c r="E37" s="51"/>
      <c r="F37" s="34"/>
      <c r="G37" s="51"/>
      <c r="H37" s="48"/>
      <c r="I37" s="47"/>
      <c r="J37" s="47"/>
      <c r="K37" s="47"/>
      <c r="L37" s="47"/>
      <c r="M37" s="47"/>
      <c r="N37" s="50"/>
      <c r="O37" s="69">
        <v>1</v>
      </c>
      <c r="P37" s="69" t="s">
        <v>243</v>
      </c>
    </row>
    <row r="38" spans="1:20" ht="17.25" x14ac:dyDescent="0.3">
      <c r="A38" s="25">
        <v>35</v>
      </c>
      <c r="B38" s="47" t="s">
        <v>360</v>
      </c>
      <c r="C38" s="47" t="s">
        <v>362</v>
      </c>
      <c r="D38" s="48"/>
      <c r="E38" s="51"/>
      <c r="F38" s="34"/>
      <c r="G38" s="51"/>
      <c r="H38" s="48"/>
      <c r="I38" s="47"/>
      <c r="J38" s="47"/>
      <c r="K38" s="47"/>
      <c r="L38" s="47"/>
      <c r="M38" s="47"/>
      <c r="N38" s="50"/>
      <c r="O38" s="69">
        <v>1</v>
      </c>
      <c r="P38" s="69" t="s">
        <v>243</v>
      </c>
    </row>
    <row r="39" spans="1:20" ht="17.25" x14ac:dyDescent="0.3">
      <c r="A39" s="25">
        <v>36</v>
      </c>
      <c r="B39" s="36" t="s">
        <v>363</v>
      </c>
      <c r="C39" s="36" t="s">
        <v>364</v>
      </c>
      <c r="D39" s="36" t="s">
        <v>303</v>
      </c>
      <c r="E39" s="37" t="s">
        <v>272</v>
      </c>
      <c r="F39" s="34"/>
      <c r="G39" s="37" t="s">
        <v>272</v>
      </c>
      <c r="H39" s="36" t="s">
        <v>304</v>
      </c>
      <c r="I39" s="36" t="s">
        <v>365</v>
      </c>
      <c r="J39" s="36" t="s">
        <v>365</v>
      </c>
      <c r="K39" s="36">
        <v>103</v>
      </c>
      <c r="L39" s="36">
        <v>78</v>
      </c>
      <c r="M39" s="36">
        <v>104</v>
      </c>
      <c r="N39" s="38">
        <v>116</v>
      </c>
      <c r="O39" s="69">
        <v>1</v>
      </c>
      <c r="P39" s="69" t="s">
        <v>243</v>
      </c>
      <c r="Q39" s="36">
        <v>87</v>
      </c>
      <c r="R39" s="36">
        <v>73</v>
      </c>
      <c r="S39" s="36">
        <v>84</v>
      </c>
      <c r="T39" s="38">
        <v>87</v>
      </c>
    </row>
    <row r="40" spans="1:20" ht="17.25" x14ac:dyDescent="0.3">
      <c r="A40" s="25">
        <v>37</v>
      </c>
      <c r="B40" s="36" t="s">
        <v>363</v>
      </c>
      <c r="C40" s="36" t="s">
        <v>366</v>
      </c>
      <c r="D40" s="39" t="s">
        <v>260</v>
      </c>
      <c r="E40" s="39" t="s">
        <v>260</v>
      </c>
      <c r="F40" s="29"/>
      <c r="G40" s="40" t="s">
        <v>261</v>
      </c>
      <c r="H40" s="36" t="s">
        <v>304</v>
      </c>
      <c r="I40" s="36" t="s">
        <v>365</v>
      </c>
      <c r="J40" s="36" t="s">
        <v>365</v>
      </c>
      <c r="K40" s="36">
        <v>87</v>
      </c>
      <c r="L40" s="36">
        <v>72</v>
      </c>
      <c r="M40" s="36">
        <v>85</v>
      </c>
      <c r="N40" s="38">
        <v>86</v>
      </c>
      <c r="O40" s="69">
        <v>1</v>
      </c>
      <c r="P40" s="69" t="s">
        <v>243</v>
      </c>
    </row>
    <row r="41" spans="1:20" ht="17.25" x14ac:dyDescent="0.3">
      <c r="A41" s="25">
        <v>38</v>
      </c>
      <c r="B41" s="36" t="s">
        <v>363</v>
      </c>
      <c r="C41" s="36" t="s">
        <v>367</v>
      </c>
      <c r="D41" s="39" t="s">
        <v>260</v>
      </c>
      <c r="E41" s="40" t="s">
        <v>261</v>
      </c>
      <c r="F41" s="29"/>
      <c r="G41" s="40" t="s">
        <v>261</v>
      </c>
      <c r="H41" s="36" t="s">
        <v>304</v>
      </c>
      <c r="I41" s="36" t="s">
        <v>365</v>
      </c>
      <c r="J41" s="36" t="s">
        <v>365</v>
      </c>
      <c r="K41" s="36">
        <v>90</v>
      </c>
      <c r="L41" s="36">
        <v>64</v>
      </c>
      <c r="M41" s="36">
        <v>86</v>
      </c>
      <c r="N41" s="38">
        <v>82</v>
      </c>
      <c r="O41" s="69">
        <v>1</v>
      </c>
      <c r="P41" s="69" t="s">
        <v>243</v>
      </c>
    </row>
    <row r="42" spans="1:20" ht="17.25" x14ac:dyDescent="0.3">
      <c r="A42" s="25">
        <v>39</v>
      </c>
      <c r="B42" s="42" t="s">
        <v>368</v>
      </c>
      <c r="C42" s="42" t="s">
        <v>369</v>
      </c>
      <c r="D42" s="43" t="s">
        <v>260</v>
      </c>
      <c r="E42" s="44" t="s">
        <v>261</v>
      </c>
      <c r="F42" s="45"/>
      <c r="G42" s="42" t="s">
        <v>304</v>
      </c>
      <c r="H42" s="42" t="s">
        <v>304</v>
      </c>
      <c r="I42" s="42" t="s">
        <v>304</v>
      </c>
      <c r="J42" s="42" t="s">
        <v>304</v>
      </c>
      <c r="K42" s="42">
        <v>86</v>
      </c>
      <c r="L42" s="42">
        <v>80</v>
      </c>
      <c r="M42" s="42">
        <v>87</v>
      </c>
      <c r="N42" s="46">
        <v>81</v>
      </c>
      <c r="O42" s="69">
        <v>1</v>
      </c>
      <c r="P42" s="69" t="s">
        <v>243</v>
      </c>
    </row>
    <row r="43" spans="1:20" ht="17.25" x14ac:dyDescent="0.3">
      <c r="A43" s="25">
        <v>40</v>
      </c>
      <c r="B43" s="42" t="s">
        <v>368</v>
      </c>
      <c r="C43" s="42" t="s">
        <v>370</v>
      </c>
      <c r="D43" s="43" t="s">
        <v>260</v>
      </c>
      <c r="E43" s="43" t="s">
        <v>260</v>
      </c>
      <c r="F43" s="45"/>
      <c r="G43" s="42" t="s">
        <v>304</v>
      </c>
      <c r="H43" s="42" t="s">
        <v>304</v>
      </c>
      <c r="I43" s="42" t="s">
        <v>304</v>
      </c>
      <c r="J43" s="42" t="s">
        <v>304</v>
      </c>
      <c r="K43" s="42">
        <v>82</v>
      </c>
      <c r="L43" s="42">
        <v>81</v>
      </c>
      <c r="M43" s="42">
        <v>82</v>
      </c>
      <c r="N43" s="46">
        <v>89</v>
      </c>
      <c r="O43" s="69">
        <v>1</v>
      </c>
      <c r="P43" s="69" t="s">
        <v>243</v>
      </c>
    </row>
    <row r="44" spans="1:20" ht="17.25" x14ac:dyDescent="0.3">
      <c r="A44" s="25">
        <v>41</v>
      </c>
      <c r="B44" s="42" t="s">
        <v>371</v>
      </c>
      <c r="C44" s="42" t="s">
        <v>372</v>
      </c>
      <c r="D44" s="42" t="s">
        <v>304</v>
      </c>
      <c r="E44" s="43" t="s">
        <v>260</v>
      </c>
      <c r="F44" s="45"/>
      <c r="G44" s="42" t="s">
        <v>304</v>
      </c>
      <c r="H44" s="42" t="s">
        <v>304</v>
      </c>
      <c r="I44" s="42" t="s">
        <v>304</v>
      </c>
      <c r="J44" s="42" t="s">
        <v>304</v>
      </c>
      <c r="K44" s="42">
        <v>71</v>
      </c>
      <c r="L44" s="42">
        <v>52</v>
      </c>
      <c r="M44" s="42">
        <v>77</v>
      </c>
      <c r="N44" s="46">
        <v>69</v>
      </c>
      <c r="O44" s="69">
        <v>1</v>
      </c>
      <c r="P44" s="69" t="s">
        <v>243</v>
      </c>
    </row>
    <row r="45" spans="1:20" ht="17.25" x14ac:dyDescent="0.3">
      <c r="A45" s="25">
        <v>42</v>
      </c>
      <c r="B45" s="42" t="s">
        <v>371</v>
      </c>
      <c r="C45" s="42" t="s">
        <v>373</v>
      </c>
      <c r="D45" s="42" t="s">
        <v>304</v>
      </c>
      <c r="E45" s="53" t="s">
        <v>272</v>
      </c>
      <c r="F45" s="45"/>
      <c r="G45" s="42" t="s">
        <v>304</v>
      </c>
      <c r="H45" s="42" t="s">
        <v>304</v>
      </c>
      <c r="I45" s="42" t="s">
        <v>304</v>
      </c>
      <c r="J45" s="42" t="s">
        <v>304</v>
      </c>
      <c r="K45" s="42">
        <v>31</v>
      </c>
      <c r="L45" s="42">
        <v>81</v>
      </c>
      <c r="M45" s="42">
        <v>50</v>
      </c>
      <c r="N45" s="46">
        <v>58</v>
      </c>
      <c r="O45" s="69">
        <v>1</v>
      </c>
      <c r="P45" s="69" t="s">
        <v>243</v>
      </c>
    </row>
    <row r="46" spans="1:20" ht="17.25" x14ac:dyDescent="0.3">
      <c r="A46" s="25">
        <v>43</v>
      </c>
      <c r="B46" s="54" t="s">
        <v>374</v>
      </c>
      <c r="C46" s="54" t="s">
        <v>375</v>
      </c>
      <c r="D46" s="54" t="s">
        <v>286</v>
      </c>
      <c r="E46" s="55" t="s">
        <v>260</v>
      </c>
      <c r="F46" s="34"/>
      <c r="G46" s="56" t="s">
        <v>272</v>
      </c>
      <c r="H46" s="57" t="s">
        <v>261</v>
      </c>
      <c r="I46" s="54" t="s">
        <v>376</v>
      </c>
      <c r="J46" s="54" t="s">
        <v>377</v>
      </c>
      <c r="K46" s="54">
        <v>93</v>
      </c>
      <c r="L46" s="54">
        <v>69</v>
      </c>
      <c r="M46" s="54">
        <v>92</v>
      </c>
      <c r="N46" s="58">
        <v>105</v>
      </c>
      <c r="O46" s="69">
        <v>1</v>
      </c>
      <c r="P46" s="69" t="s">
        <v>238</v>
      </c>
    </row>
    <row r="47" spans="1:20" ht="17.25" x14ac:dyDescent="0.3">
      <c r="A47" s="25">
        <v>44</v>
      </c>
      <c r="B47" s="54" t="s">
        <v>374</v>
      </c>
      <c r="C47" s="54" t="s">
        <v>378</v>
      </c>
      <c r="D47" s="54" t="s">
        <v>286</v>
      </c>
      <c r="E47" s="55" t="s">
        <v>260</v>
      </c>
      <c r="F47" s="32"/>
      <c r="G47" s="55" t="s">
        <v>260</v>
      </c>
      <c r="H47" s="55" t="s">
        <v>260</v>
      </c>
      <c r="I47" s="54" t="s">
        <v>379</v>
      </c>
      <c r="J47" s="54" t="s">
        <v>379</v>
      </c>
      <c r="K47" s="54">
        <v>78</v>
      </c>
      <c r="L47" s="54">
        <v>98</v>
      </c>
      <c r="M47" s="54">
        <v>91</v>
      </c>
      <c r="N47" s="58">
        <v>90</v>
      </c>
      <c r="O47" s="69">
        <v>1</v>
      </c>
      <c r="P47" s="69" t="s">
        <v>238</v>
      </c>
    </row>
    <row r="48" spans="1:20" ht="17.25" x14ac:dyDescent="0.3">
      <c r="A48" s="25">
        <v>45</v>
      </c>
      <c r="B48" s="54" t="s">
        <v>374</v>
      </c>
      <c r="C48" s="54" t="s">
        <v>380</v>
      </c>
      <c r="D48" s="57" t="s">
        <v>261</v>
      </c>
      <c r="E48" s="56" t="s">
        <v>272</v>
      </c>
      <c r="F48" s="32"/>
      <c r="G48" s="55" t="s">
        <v>260</v>
      </c>
      <c r="H48" s="56" t="s">
        <v>272</v>
      </c>
      <c r="I48" s="54" t="s">
        <v>381</v>
      </c>
      <c r="J48" s="54" t="s">
        <v>270</v>
      </c>
      <c r="K48" s="54">
        <v>94</v>
      </c>
      <c r="L48" s="54">
        <v>64</v>
      </c>
      <c r="M48" s="54">
        <v>87</v>
      </c>
      <c r="N48" s="58">
        <v>110</v>
      </c>
      <c r="O48" s="69">
        <v>1</v>
      </c>
      <c r="P48" s="69" t="s">
        <v>238</v>
      </c>
    </row>
    <row r="49" spans="1:20" ht="17.25" x14ac:dyDescent="0.3">
      <c r="A49" s="25">
        <v>46</v>
      </c>
      <c r="B49" s="54" t="s">
        <v>374</v>
      </c>
      <c r="C49" s="54" t="s">
        <v>382</v>
      </c>
      <c r="D49" s="57" t="s">
        <v>261</v>
      </c>
      <c r="E49" s="57" t="s">
        <v>261</v>
      </c>
      <c r="F49" s="29"/>
      <c r="G49" s="57" t="s">
        <v>261</v>
      </c>
      <c r="H49" s="55" t="s">
        <v>260</v>
      </c>
      <c r="I49" s="54" t="s">
        <v>383</v>
      </c>
      <c r="J49" s="54" t="s">
        <v>383</v>
      </c>
      <c r="K49" s="54">
        <v>91</v>
      </c>
      <c r="L49" s="54">
        <v>74</v>
      </c>
      <c r="M49" s="54">
        <v>90</v>
      </c>
      <c r="N49" s="58">
        <v>110</v>
      </c>
      <c r="O49" s="69">
        <v>1</v>
      </c>
      <c r="P49" s="69" t="s">
        <v>238</v>
      </c>
    </row>
    <row r="50" spans="1:20" ht="17.25" x14ac:dyDescent="0.3">
      <c r="A50" s="25">
        <v>47</v>
      </c>
      <c r="B50" s="54" t="s">
        <v>384</v>
      </c>
      <c r="C50" s="54" t="s">
        <v>385</v>
      </c>
      <c r="D50" s="54" t="s">
        <v>386</v>
      </c>
      <c r="E50" s="55" t="s">
        <v>260</v>
      </c>
      <c r="F50" s="32"/>
      <c r="G50" s="55" t="s">
        <v>260</v>
      </c>
      <c r="H50" s="56" t="s">
        <v>272</v>
      </c>
      <c r="I50" s="54" t="s">
        <v>387</v>
      </c>
      <c r="J50" s="54" t="s">
        <v>387</v>
      </c>
      <c r="K50" s="54">
        <v>57</v>
      </c>
      <c r="L50" s="54">
        <v>92</v>
      </c>
      <c r="M50" s="54">
        <v>89</v>
      </c>
      <c r="N50" s="58">
        <v>92</v>
      </c>
      <c r="O50" s="69">
        <v>2</v>
      </c>
      <c r="P50" s="69" t="s">
        <v>238</v>
      </c>
    </row>
    <row r="51" spans="1:20" ht="17.25" x14ac:dyDescent="0.3">
      <c r="A51" s="25">
        <v>48</v>
      </c>
      <c r="B51" s="54" t="s">
        <v>384</v>
      </c>
      <c r="C51" s="54" t="s">
        <v>388</v>
      </c>
      <c r="D51" s="54" t="s">
        <v>286</v>
      </c>
      <c r="E51" s="56" t="s">
        <v>272</v>
      </c>
      <c r="F51" s="32"/>
      <c r="G51" s="55" t="s">
        <v>260</v>
      </c>
      <c r="H51" s="57" t="s">
        <v>261</v>
      </c>
      <c r="I51" s="54" t="s">
        <v>389</v>
      </c>
      <c r="J51" s="54" t="s">
        <v>389</v>
      </c>
      <c r="K51" s="54">
        <v>64</v>
      </c>
      <c r="L51" s="54">
        <v>89</v>
      </c>
      <c r="M51" s="54">
        <v>91</v>
      </c>
      <c r="N51" s="58">
        <v>93</v>
      </c>
      <c r="O51" s="69">
        <v>2</v>
      </c>
      <c r="P51" s="69" t="s">
        <v>238</v>
      </c>
    </row>
    <row r="52" spans="1:20" ht="17.25" x14ac:dyDescent="0.3">
      <c r="A52" s="25">
        <v>49</v>
      </c>
      <c r="B52" s="54" t="s">
        <v>390</v>
      </c>
      <c r="C52" s="54" t="s">
        <v>391</v>
      </c>
      <c r="D52" s="59" t="s">
        <v>392</v>
      </c>
      <c r="E52" s="56" t="s">
        <v>272</v>
      </c>
      <c r="F52" s="34"/>
      <c r="G52" s="56" t="s">
        <v>272</v>
      </c>
      <c r="H52" s="55" t="s">
        <v>260</v>
      </c>
      <c r="I52" s="54" t="s">
        <v>393</v>
      </c>
      <c r="J52" s="54" t="s">
        <v>394</v>
      </c>
      <c r="K52" s="54">
        <v>90</v>
      </c>
      <c r="L52" s="54">
        <v>47</v>
      </c>
      <c r="M52" s="54">
        <v>98</v>
      </c>
      <c r="N52" s="58">
        <v>109</v>
      </c>
      <c r="O52" s="69">
        <v>1</v>
      </c>
      <c r="P52" s="69" t="s">
        <v>238</v>
      </c>
    </row>
    <row r="53" spans="1:20" ht="17.25" x14ac:dyDescent="0.3">
      <c r="A53" s="25">
        <v>50</v>
      </c>
      <c r="B53" s="54" t="s">
        <v>390</v>
      </c>
      <c r="C53" s="54" t="s">
        <v>677</v>
      </c>
      <c r="D53" s="57" t="s">
        <v>261</v>
      </c>
      <c r="E53" s="57" t="s">
        <v>261</v>
      </c>
      <c r="F53" s="29"/>
      <c r="G53" s="57" t="s">
        <v>261</v>
      </c>
      <c r="H53" s="55" t="s">
        <v>260</v>
      </c>
      <c r="I53" s="54" t="s">
        <v>395</v>
      </c>
      <c r="J53" s="56" t="s">
        <v>396</v>
      </c>
      <c r="K53" s="54">
        <v>96</v>
      </c>
      <c r="L53" s="54">
        <v>76</v>
      </c>
      <c r="M53" s="54">
        <v>87</v>
      </c>
      <c r="N53" s="58">
        <v>108</v>
      </c>
      <c r="O53" s="69">
        <v>1</v>
      </c>
      <c r="P53" s="69" t="s">
        <v>238</v>
      </c>
    </row>
    <row r="54" spans="1:20" ht="17.25" x14ac:dyDescent="0.3">
      <c r="A54" s="25">
        <v>51</v>
      </c>
      <c r="B54" s="54" t="s">
        <v>390</v>
      </c>
      <c r="C54" s="54" t="s">
        <v>397</v>
      </c>
      <c r="D54" s="57" t="s">
        <v>261</v>
      </c>
      <c r="E54" s="56" t="s">
        <v>272</v>
      </c>
      <c r="F54" s="32"/>
      <c r="G54" s="56" t="s">
        <v>272</v>
      </c>
      <c r="H54" s="55" t="s">
        <v>260</v>
      </c>
      <c r="I54" s="54" t="s">
        <v>398</v>
      </c>
      <c r="J54" s="54" t="s">
        <v>399</v>
      </c>
      <c r="K54" s="54">
        <v>79</v>
      </c>
      <c r="L54" s="54">
        <v>93</v>
      </c>
      <c r="M54" s="54">
        <v>87</v>
      </c>
      <c r="N54" s="58">
        <v>99</v>
      </c>
      <c r="O54" s="69">
        <v>1</v>
      </c>
      <c r="P54" s="69" t="s">
        <v>238</v>
      </c>
    </row>
    <row r="55" spans="1:20" ht="17.25" x14ac:dyDescent="0.3">
      <c r="A55" s="25">
        <v>52</v>
      </c>
      <c r="B55" s="54" t="s">
        <v>400</v>
      </c>
      <c r="C55" s="54" t="s">
        <v>401</v>
      </c>
      <c r="D55" s="55" t="s">
        <v>260</v>
      </c>
      <c r="E55" s="56" t="s">
        <v>272</v>
      </c>
      <c r="F55" s="32"/>
      <c r="G55" s="55" t="s">
        <v>260</v>
      </c>
      <c r="H55" s="56" t="s">
        <v>272</v>
      </c>
      <c r="I55" s="54" t="s">
        <v>402</v>
      </c>
      <c r="J55" s="54" t="s">
        <v>403</v>
      </c>
      <c r="K55" s="54">
        <v>93</v>
      </c>
      <c r="L55" s="54">
        <v>67</v>
      </c>
      <c r="M55" s="54">
        <v>95</v>
      </c>
      <c r="N55" s="58">
        <v>91</v>
      </c>
      <c r="O55" s="69">
        <v>2</v>
      </c>
      <c r="P55" s="69" t="s">
        <v>238</v>
      </c>
    </row>
    <row r="56" spans="1:20" ht="17.25" x14ac:dyDescent="0.3">
      <c r="A56" s="25">
        <v>53</v>
      </c>
      <c r="B56" s="54" t="s">
        <v>400</v>
      </c>
      <c r="C56" s="54" t="s">
        <v>404</v>
      </c>
      <c r="D56" s="60" t="s">
        <v>405</v>
      </c>
      <c r="E56" s="55" t="s">
        <v>260</v>
      </c>
      <c r="F56" s="32"/>
      <c r="G56" s="55" t="s">
        <v>260</v>
      </c>
      <c r="H56" s="56" t="s">
        <v>272</v>
      </c>
      <c r="I56" s="54" t="s">
        <v>406</v>
      </c>
      <c r="J56" s="54" t="s">
        <v>406</v>
      </c>
      <c r="K56" s="54">
        <v>88</v>
      </c>
      <c r="L56" s="54">
        <v>94</v>
      </c>
      <c r="M56" s="54">
        <v>87</v>
      </c>
      <c r="N56" s="58">
        <v>92</v>
      </c>
      <c r="O56" s="69">
        <v>1</v>
      </c>
      <c r="P56" s="69" t="s">
        <v>238</v>
      </c>
    </row>
    <row r="57" spans="1:20" ht="17.25" x14ac:dyDescent="0.3">
      <c r="A57" s="25">
        <v>54</v>
      </c>
      <c r="B57" s="54" t="s">
        <v>400</v>
      </c>
      <c r="C57" s="54" t="s">
        <v>407</v>
      </c>
      <c r="D57" s="54" t="s">
        <v>286</v>
      </c>
      <c r="E57" s="55" t="s">
        <v>260</v>
      </c>
      <c r="F57" s="32"/>
      <c r="G57" s="59" t="s">
        <v>408</v>
      </c>
      <c r="H57" s="55" t="s">
        <v>260</v>
      </c>
      <c r="I57" s="54" t="s">
        <v>409</v>
      </c>
      <c r="J57" s="54" t="s">
        <v>409</v>
      </c>
      <c r="K57" s="54">
        <v>76</v>
      </c>
      <c r="L57" s="54">
        <v>97</v>
      </c>
      <c r="M57" s="54">
        <v>87</v>
      </c>
      <c r="N57" s="58">
        <v>95</v>
      </c>
      <c r="O57" s="69">
        <v>1</v>
      </c>
      <c r="P57" s="69" t="s">
        <v>238</v>
      </c>
    </row>
    <row r="58" spans="1:20" ht="17.25" x14ac:dyDescent="0.3">
      <c r="A58" s="25">
        <v>55</v>
      </c>
      <c r="B58" s="54" t="s">
        <v>410</v>
      </c>
      <c r="C58" s="54" t="s">
        <v>411</v>
      </c>
      <c r="D58" s="59" t="s">
        <v>412</v>
      </c>
      <c r="E58" s="55"/>
      <c r="F58" s="32"/>
      <c r="G58" s="55"/>
      <c r="H58" s="56"/>
      <c r="I58" s="54" t="s">
        <v>413</v>
      </c>
      <c r="J58" s="54"/>
      <c r="K58" s="54"/>
      <c r="L58" s="54"/>
      <c r="M58" s="54"/>
      <c r="N58" s="58"/>
      <c r="O58" s="69">
        <v>1</v>
      </c>
      <c r="P58" s="69" t="s">
        <v>238</v>
      </c>
    </row>
    <row r="59" spans="1:20" ht="17.25" x14ac:dyDescent="0.3">
      <c r="A59" s="25">
        <v>56</v>
      </c>
      <c r="B59" s="54" t="s">
        <v>410</v>
      </c>
      <c r="C59" s="54" t="s">
        <v>414</v>
      </c>
      <c r="D59" s="59"/>
      <c r="E59" s="55"/>
      <c r="F59" s="32"/>
      <c r="G59" s="55"/>
      <c r="H59" s="56"/>
      <c r="I59" s="54"/>
      <c r="J59" s="54"/>
      <c r="K59" s="54"/>
      <c r="L59" s="54"/>
      <c r="M59" s="54"/>
      <c r="N59" s="58"/>
      <c r="O59" s="69">
        <v>1</v>
      </c>
      <c r="P59" s="69" t="s">
        <v>238</v>
      </c>
    </row>
    <row r="60" spans="1:20" ht="17.25" x14ac:dyDescent="0.3">
      <c r="A60" s="25">
        <v>57</v>
      </c>
      <c r="B60" s="36" t="s">
        <v>415</v>
      </c>
      <c r="C60" s="36" t="s">
        <v>416</v>
      </c>
      <c r="D60" s="39" t="s">
        <v>260</v>
      </c>
      <c r="E60" s="40" t="s">
        <v>261</v>
      </c>
      <c r="F60" s="29"/>
      <c r="G60" s="40" t="s">
        <v>261</v>
      </c>
      <c r="H60" s="36" t="s">
        <v>304</v>
      </c>
      <c r="I60" s="36" t="s">
        <v>417</v>
      </c>
      <c r="J60" s="36" t="s">
        <v>365</v>
      </c>
      <c r="K60" s="36">
        <v>92</v>
      </c>
      <c r="L60" s="36">
        <v>80</v>
      </c>
      <c r="M60" s="36">
        <v>91</v>
      </c>
      <c r="N60" s="38">
        <v>112</v>
      </c>
      <c r="O60" s="69">
        <v>1</v>
      </c>
      <c r="P60" s="69" t="s">
        <v>238</v>
      </c>
      <c r="Q60" s="36">
        <v>83</v>
      </c>
      <c r="R60" s="36">
        <v>70</v>
      </c>
      <c r="S60" s="36">
        <v>80</v>
      </c>
      <c r="T60" s="38">
        <v>95</v>
      </c>
    </row>
    <row r="61" spans="1:20" ht="17.25" x14ac:dyDescent="0.3">
      <c r="A61" s="25">
        <v>58</v>
      </c>
      <c r="B61" s="36" t="s">
        <v>415</v>
      </c>
      <c r="C61" s="36" t="s">
        <v>418</v>
      </c>
      <c r="D61" s="37" t="s">
        <v>272</v>
      </c>
      <c r="E61" s="37" t="s">
        <v>272</v>
      </c>
      <c r="F61" s="32"/>
      <c r="G61" s="39" t="s">
        <v>260</v>
      </c>
      <c r="H61" s="36" t="s">
        <v>304</v>
      </c>
      <c r="I61" s="36" t="s">
        <v>419</v>
      </c>
      <c r="J61" s="36" t="s">
        <v>419</v>
      </c>
      <c r="K61" s="36">
        <v>62</v>
      </c>
      <c r="L61" s="36">
        <v>103</v>
      </c>
      <c r="M61" s="36">
        <v>103</v>
      </c>
      <c r="N61" s="38">
        <v>104</v>
      </c>
      <c r="O61" s="69">
        <v>1</v>
      </c>
      <c r="P61" s="69" t="s">
        <v>238</v>
      </c>
      <c r="Q61" s="36">
        <v>56</v>
      </c>
      <c r="R61" s="36">
        <v>91</v>
      </c>
      <c r="S61" s="36">
        <v>66</v>
      </c>
      <c r="T61" s="38">
        <v>70</v>
      </c>
    </row>
    <row r="62" spans="1:20" ht="17.25" x14ac:dyDescent="0.3">
      <c r="A62" s="25">
        <v>59</v>
      </c>
      <c r="B62" s="36" t="s">
        <v>415</v>
      </c>
      <c r="C62" s="36" t="s">
        <v>420</v>
      </c>
      <c r="D62" s="39" t="s">
        <v>260</v>
      </c>
      <c r="E62" s="39" t="s">
        <v>260</v>
      </c>
      <c r="F62" s="34"/>
      <c r="G62" s="37" t="s">
        <v>272</v>
      </c>
      <c r="H62" s="36" t="s">
        <v>304</v>
      </c>
      <c r="I62" s="61" t="s">
        <v>421</v>
      </c>
      <c r="J62" s="62" t="s">
        <v>422</v>
      </c>
      <c r="K62" s="36">
        <v>89</v>
      </c>
      <c r="L62" s="36">
        <v>58</v>
      </c>
      <c r="M62" s="36">
        <v>82</v>
      </c>
      <c r="N62" s="38">
        <v>87</v>
      </c>
      <c r="O62" s="69">
        <v>1</v>
      </c>
      <c r="P62" s="69" t="s">
        <v>238</v>
      </c>
    </row>
    <row r="63" spans="1:20" ht="17.25" x14ac:dyDescent="0.3">
      <c r="A63" s="25">
        <v>60</v>
      </c>
      <c r="B63" s="42" t="s">
        <v>423</v>
      </c>
      <c r="C63" s="42" t="s">
        <v>424</v>
      </c>
      <c r="D63" s="42" t="s">
        <v>425</v>
      </c>
      <c r="E63" s="43" t="s">
        <v>260</v>
      </c>
      <c r="F63" s="45"/>
      <c r="G63" s="42" t="s">
        <v>304</v>
      </c>
      <c r="H63" s="42" t="s">
        <v>304</v>
      </c>
      <c r="I63" s="42" t="s">
        <v>304</v>
      </c>
      <c r="J63" s="42" t="s">
        <v>304</v>
      </c>
      <c r="K63" s="42">
        <v>81</v>
      </c>
      <c r="L63" s="42">
        <v>81</v>
      </c>
      <c r="M63" s="42">
        <v>87</v>
      </c>
      <c r="N63" s="46">
        <v>86</v>
      </c>
      <c r="O63" s="69">
        <v>1</v>
      </c>
      <c r="P63" s="69" t="s">
        <v>238</v>
      </c>
    </row>
    <row r="64" spans="1:20" ht="17.25" x14ac:dyDescent="0.3">
      <c r="A64" s="25">
        <v>61</v>
      </c>
      <c r="B64" s="42" t="s">
        <v>423</v>
      </c>
      <c r="C64" s="42" t="s">
        <v>426</v>
      </c>
      <c r="D64" s="43" t="s">
        <v>260</v>
      </c>
      <c r="E64" s="43" t="s">
        <v>260</v>
      </c>
      <c r="F64" s="45"/>
      <c r="G64" s="42" t="s">
        <v>304</v>
      </c>
      <c r="H64" s="42" t="s">
        <v>304</v>
      </c>
      <c r="I64" s="42" t="s">
        <v>304</v>
      </c>
      <c r="J64" s="42" t="s">
        <v>304</v>
      </c>
      <c r="K64" s="42">
        <v>87</v>
      </c>
      <c r="L64" s="42">
        <v>67</v>
      </c>
      <c r="M64" s="42">
        <v>83</v>
      </c>
      <c r="N64" s="46">
        <v>83</v>
      </c>
      <c r="O64" s="69">
        <v>1</v>
      </c>
      <c r="P64" s="69" t="s">
        <v>238</v>
      </c>
    </row>
    <row r="65" spans="1:20" ht="17.25" x14ac:dyDescent="0.3">
      <c r="A65" s="25">
        <v>62</v>
      </c>
      <c r="B65" s="42" t="s">
        <v>427</v>
      </c>
      <c r="C65" s="42" t="s">
        <v>548</v>
      </c>
      <c r="D65" s="42" t="s">
        <v>304</v>
      </c>
      <c r="E65" s="53" t="s">
        <v>272</v>
      </c>
      <c r="F65" s="45"/>
      <c r="G65" s="42" t="s">
        <v>304</v>
      </c>
      <c r="H65" s="42" t="s">
        <v>304</v>
      </c>
      <c r="I65" s="42" t="s">
        <v>304</v>
      </c>
      <c r="J65" s="42" t="s">
        <v>304</v>
      </c>
      <c r="K65" s="42">
        <v>39</v>
      </c>
      <c r="L65" s="42">
        <v>73</v>
      </c>
      <c r="M65" s="42">
        <v>60</v>
      </c>
      <c r="N65" s="46">
        <v>56</v>
      </c>
      <c r="O65" s="69">
        <v>1</v>
      </c>
      <c r="P65" s="69" t="s">
        <v>238</v>
      </c>
    </row>
    <row r="66" spans="1:20" ht="17.25" x14ac:dyDescent="0.3">
      <c r="A66" s="25">
        <v>63</v>
      </c>
      <c r="B66" s="42" t="s">
        <v>427</v>
      </c>
      <c r="C66" s="42" t="s">
        <v>428</v>
      </c>
      <c r="D66" s="42" t="s">
        <v>304</v>
      </c>
      <c r="E66" s="43" t="s">
        <v>260</v>
      </c>
      <c r="F66" s="45"/>
      <c r="G66" s="42" t="s">
        <v>304</v>
      </c>
      <c r="H66" s="42" t="s">
        <v>304</v>
      </c>
      <c r="I66" s="42" t="s">
        <v>304</v>
      </c>
      <c r="J66" s="42" t="s">
        <v>304</v>
      </c>
      <c r="K66" s="42">
        <v>74</v>
      </c>
      <c r="L66" s="42">
        <v>57</v>
      </c>
      <c r="M66" s="42">
        <v>66</v>
      </c>
      <c r="N66" s="46">
        <v>75</v>
      </c>
      <c r="O66" s="69">
        <v>1</v>
      </c>
      <c r="P66" s="69" t="s">
        <v>238</v>
      </c>
    </row>
    <row r="67" spans="1:20" ht="17.25" x14ac:dyDescent="0.3">
      <c r="A67" s="25">
        <v>64</v>
      </c>
      <c r="B67" s="63" t="s">
        <v>429</v>
      </c>
      <c r="C67" s="63" t="s">
        <v>430</v>
      </c>
      <c r="D67" s="64" t="s">
        <v>260</v>
      </c>
      <c r="E67" s="64" t="s">
        <v>260</v>
      </c>
      <c r="F67" s="32"/>
      <c r="G67" s="64" t="s">
        <v>260</v>
      </c>
      <c r="H67" s="65" t="s">
        <v>272</v>
      </c>
      <c r="I67" s="63" t="s">
        <v>431</v>
      </c>
      <c r="J67" s="63" t="s">
        <v>432</v>
      </c>
      <c r="K67" s="63">
        <v>100</v>
      </c>
      <c r="L67" s="63">
        <v>26</v>
      </c>
      <c r="M67" s="63">
        <v>92</v>
      </c>
      <c r="N67" s="66">
        <v>111</v>
      </c>
      <c r="O67" s="69">
        <v>1</v>
      </c>
      <c r="P67" s="69" t="s">
        <v>640</v>
      </c>
      <c r="Q67" s="63">
        <v>100</v>
      </c>
      <c r="R67" s="63">
        <v>26</v>
      </c>
      <c r="S67" s="63">
        <v>92</v>
      </c>
      <c r="T67" s="66">
        <v>93</v>
      </c>
    </row>
    <row r="68" spans="1:20" ht="17.25" x14ac:dyDescent="0.3">
      <c r="A68" s="25">
        <v>65</v>
      </c>
      <c r="B68" s="63" t="s">
        <v>429</v>
      </c>
      <c r="C68" s="63" t="s">
        <v>433</v>
      </c>
      <c r="D68" s="63" t="s">
        <v>434</v>
      </c>
      <c r="E68" s="64" t="s">
        <v>260</v>
      </c>
      <c r="F68" s="32"/>
      <c r="G68" s="64" t="s">
        <v>260</v>
      </c>
      <c r="H68" s="67" t="s">
        <v>261</v>
      </c>
      <c r="I68" s="63" t="s">
        <v>435</v>
      </c>
      <c r="J68" s="63" t="s">
        <v>435</v>
      </c>
      <c r="K68" s="63">
        <v>35</v>
      </c>
      <c r="L68" s="63">
        <v>95</v>
      </c>
      <c r="M68" s="63">
        <v>88</v>
      </c>
      <c r="N68" s="66">
        <v>96</v>
      </c>
      <c r="O68" s="69">
        <v>1</v>
      </c>
      <c r="P68" s="69" t="s">
        <v>640</v>
      </c>
    </row>
    <row r="69" spans="1:20" ht="17.25" x14ac:dyDescent="0.3">
      <c r="A69" s="25">
        <v>66</v>
      </c>
      <c r="B69" s="63" t="s">
        <v>429</v>
      </c>
      <c r="C69" s="63" t="s">
        <v>436</v>
      </c>
      <c r="D69" s="64" t="s">
        <v>260</v>
      </c>
      <c r="E69" s="67" t="s">
        <v>261</v>
      </c>
      <c r="F69" s="29"/>
      <c r="G69" s="67" t="s">
        <v>261</v>
      </c>
      <c r="H69" s="64" t="s">
        <v>260</v>
      </c>
      <c r="I69" s="63" t="s">
        <v>437</v>
      </c>
      <c r="J69" s="63" t="s">
        <v>438</v>
      </c>
      <c r="K69" s="63">
        <v>85</v>
      </c>
      <c r="L69" s="63">
        <v>65</v>
      </c>
      <c r="M69" s="63">
        <v>88</v>
      </c>
      <c r="N69" s="66">
        <v>120</v>
      </c>
      <c r="O69" s="69">
        <v>1</v>
      </c>
      <c r="P69" s="69" t="s">
        <v>640</v>
      </c>
    </row>
    <row r="70" spans="1:20" ht="17.25" x14ac:dyDescent="0.3">
      <c r="A70" s="25">
        <v>67</v>
      </c>
      <c r="B70" s="63" t="s">
        <v>429</v>
      </c>
      <c r="C70" s="63" t="s">
        <v>439</v>
      </c>
      <c r="D70" s="64" t="s">
        <v>260</v>
      </c>
      <c r="E70" s="67" t="s">
        <v>261</v>
      </c>
      <c r="F70" s="29"/>
      <c r="G70" s="67" t="s">
        <v>261</v>
      </c>
      <c r="H70" s="64" t="s">
        <v>260</v>
      </c>
      <c r="I70" s="63" t="s">
        <v>440</v>
      </c>
      <c r="J70" s="63" t="s">
        <v>441</v>
      </c>
      <c r="K70" s="63">
        <v>85</v>
      </c>
      <c r="L70" s="63">
        <v>79</v>
      </c>
      <c r="M70" s="63">
        <v>94</v>
      </c>
      <c r="N70" s="66">
        <v>114</v>
      </c>
      <c r="O70" s="69">
        <v>1</v>
      </c>
      <c r="P70" s="69" t="s">
        <v>640</v>
      </c>
    </row>
    <row r="71" spans="1:20" ht="17.25" x14ac:dyDescent="0.3">
      <c r="A71" s="25">
        <v>68</v>
      </c>
      <c r="B71" s="63" t="s">
        <v>442</v>
      </c>
      <c r="C71" s="63" t="s">
        <v>443</v>
      </c>
      <c r="D71" s="63" t="s">
        <v>342</v>
      </c>
      <c r="E71" s="67" t="s">
        <v>261</v>
      </c>
      <c r="F71" s="34"/>
      <c r="G71" s="65" t="s">
        <v>272</v>
      </c>
      <c r="H71" s="64" t="s">
        <v>260</v>
      </c>
      <c r="I71" s="63" t="s">
        <v>444</v>
      </c>
      <c r="J71" s="63" t="s">
        <v>445</v>
      </c>
      <c r="K71" s="63">
        <v>46</v>
      </c>
      <c r="L71" s="63">
        <v>91</v>
      </c>
      <c r="M71" s="63">
        <v>88</v>
      </c>
      <c r="N71" s="66">
        <v>94</v>
      </c>
      <c r="O71" s="69">
        <v>2</v>
      </c>
      <c r="P71" s="69" t="s">
        <v>640</v>
      </c>
    </row>
    <row r="72" spans="1:20" ht="17.25" x14ac:dyDescent="0.3">
      <c r="A72" s="25">
        <v>69</v>
      </c>
      <c r="B72" s="63" t="s">
        <v>442</v>
      </c>
      <c r="C72" s="63" t="s">
        <v>446</v>
      </c>
      <c r="D72" s="64" t="s">
        <v>447</v>
      </c>
      <c r="E72" s="65" t="s">
        <v>272</v>
      </c>
      <c r="F72" s="34"/>
      <c r="G72" s="65" t="s">
        <v>272</v>
      </c>
      <c r="H72" s="64" t="s">
        <v>260</v>
      </c>
      <c r="I72" s="63" t="s">
        <v>448</v>
      </c>
      <c r="J72" s="63" t="s">
        <v>448</v>
      </c>
      <c r="K72" s="63">
        <v>46</v>
      </c>
      <c r="L72" s="63">
        <v>98</v>
      </c>
      <c r="M72" s="63">
        <v>89</v>
      </c>
      <c r="N72" s="66">
        <v>92</v>
      </c>
      <c r="O72" s="69">
        <v>1</v>
      </c>
      <c r="P72" s="69" t="s">
        <v>640</v>
      </c>
    </row>
    <row r="73" spans="1:20" ht="17.25" x14ac:dyDescent="0.3">
      <c r="A73" s="25">
        <v>70</v>
      </c>
      <c r="B73" s="63" t="s">
        <v>449</v>
      </c>
      <c r="C73" s="63" t="s">
        <v>450</v>
      </c>
      <c r="D73" s="64" t="s">
        <v>260</v>
      </c>
      <c r="E73" s="65" t="s">
        <v>272</v>
      </c>
      <c r="F73" s="34"/>
      <c r="G73" s="65" t="s">
        <v>272</v>
      </c>
      <c r="H73" s="65" t="s">
        <v>272</v>
      </c>
      <c r="I73" s="63" t="s">
        <v>451</v>
      </c>
      <c r="J73" s="63" t="s">
        <v>451</v>
      </c>
      <c r="K73" s="63">
        <v>92</v>
      </c>
      <c r="L73" s="63">
        <v>63</v>
      </c>
      <c r="M73" s="63">
        <v>91</v>
      </c>
      <c r="N73" s="66">
        <v>108</v>
      </c>
      <c r="O73" s="69">
        <v>1</v>
      </c>
      <c r="P73" s="69" t="s">
        <v>640</v>
      </c>
    </row>
    <row r="74" spans="1:20" ht="17.25" x14ac:dyDescent="0.3">
      <c r="A74" s="25">
        <v>71</v>
      </c>
      <c r="B74" s="63" t="s">
        <v>449</v>
      </c>
      <c r="C74" s="63" t="s">
        <v>452</v>
      </c>
      <c r="D74" s="68" t="s">
        <v>386</v>
      </c>
      <c r="E74" s="67" t="s">
        <v>261</v>
      </c>
      <c r="F74" s="34"/>
      <c r="G74" s="68" t="s">
        <v>408</v>
      </c>
      <c r="H74" s="65" t="s">
        <v>272</v>
      </c>
      <c r="I74" s="63" t="s">
        <v>453</v>
      </c>
      <c r="J74" s="63" t="s">
        <v>453</v>
      </c>
      <c r="K74" s="63">
        <v>34</v>
      </c>
      <c r="L74" s="63">
        <v>92</v>
      </c>
      <c r="M74" s="63">
        <v>86</v>
      </c>
      <c r="N74" s="66">
        <v>95</v>
      </c>
      <c r="O74" s="69">
        <v>1</v>
      </c>
      <c r="P74" s="69" t="s">
        <v>640</v>
      </c>
    </row>
    <row r="75" spans="1:20" ht="17.25" x14ac:dyDescent="0.3">
      <c r="A75" s="25">
        <v>72</v>
      </c>
      <c r="B75" s="63" t="s">
        <v>449</v>
      </c>
      <c r="C75" s="63" t="s">
        <v>454</v>
      </c>
      <c r="D75" s="65" t="s">
        <v>272</v>
      </c>
      <c r="E75" s="65" t="s">
        <v>272</v>
      </c>
      <c r="F75" s="34"/>
      <c r="G75" s="64" t="s">
        <v>260</v>
      </c>
      <c r="H75" s="64" t="s">
        <v>260</v>
      </c>
      <c r="I75" s="63" t="s">
        <v>455</v>
      </c>
      <c r="J75" s="63" t="s">
        <v>456</v>
      </c>
      <c r="K75" s="63">
        <v>42</v>
      </c>
      <c r="L75" s="63">
        <v>96</v>
      </c>
      <c r="M75" s="63">
        <v>82</v>
      </c>
      <c r="N75" s="66">
        <v>95</v>
      </c>
      <c r="O75" s="69">
        <v>1</v>
      </c>
      <c r="P75" s="69" t="s">
        <v>640</v>
      </c>
    </row>
    <row r="76" spans="1:20" ht="17.25" x14ac:dyDescent="0.3">
      <c r="A76" s="25">
        <v>73</v>
      </c>
      <c r="B76" s="63" t="s">
        <v>457</v>
      </c>
      <c r="C76" s="63" t="s">
        <v>458</v>
      </c>
      <c r="D76" s="63" t="s">
        <v>342</v>
      </c>
      <c r="E76" s="65" t="s">
        <v>272</v>
      </c>
      <c r="F76" s="34"/>
      <c r="G76" s="65" t="s">
        <v>272</v>
      </c>
      <c r="H76" s="64" t="s">
        <v>260</v>
      </c>
      <c r="I76" s="63" t="s">
        <v>459</v>
      </c>
      <c r="J76" s="63" t="s">
        <v>460</v>
      </c>
      <c r="K76" s="63">
        <v>58</v>
      </c>
      <c r="L76" s="63">
        <v>89</v>
      </c>
      <c r="M76" s="63">
        <v>97</v>
      </c>
      <c r="N76" s="66">
        <v>93</v>
      </c>
      <c r="O76" s="69">
        <v>2</v>
      </c>
      <c r="P76" s="69" t="s">
        <v>640</v>
      </c>
    </row>
    <row r="77" spans="1:20" ht="17.25" x14ac:dyDescent="0.3">
      <c r="A77" s="25">
        <v>74</v>
      </c>
      <c r="B77" s="63" t="s">
        <v>457</v>
      </c>
      <c r="C77" s="63" t="s">
        <v>461</v>
      </c>
      <c r="D77" s="63" t="s">
        <v>462</v>
      </c>
      <c r="E77" s="64" t="s">
        <v>260</v>
      </c>
      <c r="F77" s="34"/>
      <c r="G77" s="64" t="s">
        <v>260</v>
      </c>
      <c r="H77" s="65" t="s">
        <v>272</v>
      </c>
      <c r="I77" s="63" t="s">
        <v>463</v>
      </c>
      <c r="J77" s="63" t="s">
        <v>463</v>
      </c>
      <c r="K77" s="63">
        <v>42</v>
      </c>
      <c r="L77" s="63">
        <v>95</v>
      </c>
      <c r="M77" s="63">
        <v>93</v>
      </c>
      <c r="N77" s="66">
        <v>91</v>
      </c>
      <c r="O77" s="69">
        <v>1</v>
      </c>
      <c r="P77" s="69" t="s">
        <v>640</v>
      </c>
    </row>
    <row r="78" spans="1:20" ht="17.25" x14ac:dyDescent="0.3">
      <c r="A78" s="25">
        <v>75</v>
      </c>
      <c r="B78" s="63" t="s">
        <v>457</v>
      </c>
      <c r="C78" s="63" t="s">
        <v>464</v>
      </c>
      <c r="D78" s="63" t="s">
        <v>465</v>
      </c>
      <c r="E78" s="64" t="s">
        <v>260</v>
      </c>
      <c r="F78" s="34"/>
      <c r="G78" s="68" t="s">
        <v>466</v>
      </c>
      <c r="H78" s="68" t="s">
        <v>467</v>
      </c>
      <c r="I78" s="63" t="s">
        <v>468</v>
      </c>
      <c r="J78" s="63" t="s">
        <v>468</v>
      </c>
      <c r="K78" s="63">
        <v>37</v>
      </c>
      <c r="L78" s="63">
        <v>94</v>
      </c>
      <c r="M78" s="63">
        <v>87</v>
      </c>
      <c r="N78" s="66">
        <v>92</v>
      </c>
      <c r="O78" s="69">
        <v>1</v>
      </c>
      <c r="P78" s="69" t="s">
        <v>640</v>
      </c>
    </row>
    <row r="79" spans="1:20" ht="17.25" x14ac:dyDescent="0.3">
      <c r="A79" s="25">
        <v>76</v>
      </c>
      <c r="B79" s="63" t="s">
        <v>469</v>
      </c>
      <c r="C79" s="63" t="s">
        <v>470</v>
      </c>
      <c r="D79" s="63" t="s">
        <v>471</v>
      </c>
      <c r="E79" s="64" t="s">
        <v>260</v>
      </c>
      <c r="F79" s="34"/>
      <c r="G79" s="64" t="s">
        <v>260</v>
      </c>
      <c r="H79" s="65" t="s">
        <v>472</v>
      </c>
      <c r="I79" s="63" t="s">
        <v>473</v>
      </c>
      <c r="J79" s="63" t="s">
        <v>474</v>
      </c>
      <c r="K79" s="63"/>
      <c r="L79" s="63"/>
      <c r="M79" s="63"/>
      <c r="N79" s="66"/>
      <c r="O79" s="69">
        <v>1</v>
      </c>
      <c r="P79" s="69" t="s">
        <v>640</v>
      </c>
    </row>
    <row r="80" spans="1:20" ht="17.25" x14ac:dyDescent="0.3">
      <c r="A80" s="25">
        <v>77</v>
      </c>
      <c r="B80" s="63" t="s">
        <v>469</v>
      </c>
      <c r="C80" s="63" t="s">
        <v>475</v>
      </c>
      <c r="D80" s="64" t="s">
        <v>260</v>
      </c>
      <c r="E80" s="67" t="s">
        <v>261</v>
      </c>
      <c r="F80" s="34"/>
      <c r="G80" s="65" t="s">
        <v>272</v>
      </c>
      <c r="H80" s="64" t="s">
        <v>260</v>
      </c>
      <c r="I80" s="63" t="s">
        <v>476</v>
      </c>
      <c r="J80" s="63" t="s">
        <v>476</v>
      </c>
      <c r="K80" s="63"/>
      <c r="L80" s="63"/>
      <c r="M80" s="63"/>
      <c r="N80" s="66"/>
      <c r="O80" s="69">
        <v>1</v>
      </c>
      <c r="P80" s="69" t="s">
        <v>640</v>
      </c>
    </row>
    <row r="81" spans="1:20" ht="17.25" x14ac:dyDescent="0.3">
      <c r="A81" s="25">
        <v>78</v>
      </c>
      <c r="B81" s="63" t="s">
        <v>469</v>
      </c>
      <c r="C81" s="63" t="s">
        <v>477</v>
      </c>
      <c r="D81" s="65" t="s">
        <v>478</v>
      </c>
      <c r="E81" s="67" t="s">
        <v>261</v>
      </c>
      <c r="F81" s="34"/>
      <c r="G81" s="65" t="s">
        <v>272</v>
      </c>
      <c r="H81" s="65" t="s">
        <v>272</v>
      </c>
      <c r="I81" s="63" t="s">
        <v>479</v>
      </c>
      <c r="J81" s="63" t="s">
        <v>480</v>
      </c>
      <c r="K81" s="63"/>
      <c r="L81" s="63"/>
      <c r="M81" s="63"/>
      <c r="N81" s="66"/>
      <c r="O81" s="69">
        <v>1</v>
      </c>
      <c r="P81" s="69" t="s">
        <v>640</v>
      </c>
    </row>
    <row r="82" spans="1:20" ht="17.25" x14ac:dyDescent="0.3">
      <c r="A82" s="25">
        <v>79</v>
      </c>
      <c r="B82" s="63" t="s">
        <v>469</v>
      </c>
      <c r="C82" s="63" t="s">
        <v>481</v>
      </c>
      <c r="D82" s="64" t="s">
        <v>260</v>
      </c>
      <c r="E82" s="67" t="s">
        <v>261</v>
      </c>
      <c r="F82" s="34"/>
      <c r="G82" s="64" t="s">
        <v>260</v>
      </c>
      <c r="H82" s="64" t="s">
        <v>260</v>
      </c>
      <c r="I82" s="63"/>
      <c r="J82" s="63"/>
      <c r="K82" s="63"/>
      <c r="L82" s="63"/>
      <c r="M82" s="63"/>
      <c r="N82" s="66"/>
      <c r="O82" s="69">
        <v>1</v>
      </c>
      <c r="P82" s="69" t="s">
        <v>640</v>
      </c>
    </row>
    <row r="83" spans="1:20" ht="17.25" x14ac:dyDescent="0.3">
      <c r="A83" s="25">
        <v>80</v>
      </c>
      <c r="B83" s="63" t="s">
        <v>469</v>
      </c>
      <c r="C83" s="63" t="s">
        <v>482</v>
      </c>
      <c r="D83" s="63" t="s">
        <v>342</v>
      </c>
      <c r="E83" s="67" t="s">
        <v>261</v>
      </c>
      <c r="F83" s="34"/>
      <c r="G83" s="68" t="s">
        <v>483</v>
      </c>
      <c r="H83" s="68"/>
      <c r="I83" s="63" t="s">
        <v>484</v>
      </c>
      <c r="J83" s="63" t="s">
        <v>484</v>
      </c>
      <c r="K83" s="63"/>
      <c r="L83" s="63"/>
      <c r="M83" s="63"/>
      <c r="N83" s="66"/>
      <c r="O83" s="69">
        <v>2</v>
      </c>
      <c r="P83" s="69" t="s">
        <v>640</v>
      </c>
    </row>
    <row r="84" spans="1:20" ht="17.25" x14ac:dyDescent="0.3">
      <c r="A84" s="25">
        <v>81</v>
      </c>
      <c r="B84" s="63" t="s">
        <v>469</v>
      </c>
      <c r="C84" s="63" t="s">
        <v>485</v>
      </c>
      <c r="D84" s="63" t="s">
        <v>486</v>
      </c>
      <c r="E84" s="64" t="s">
        <v>260</v>
      </c>
      <c r="F84" s="34"/>
      <c r="G84" s="64" t="s">
        <v>260</v>
      </c>
      <c r="H84" s="67" t="s">
        <v>261</v>
      </c>
      <c r="I84" s="63" t="s">
        <v>487</v>
      </c>
      <c r="J84" s="63" t="s">
        <v>487</v>
      </c>
      <c r="K84" s="63"/>
      <c r="L84" s="63"/>
      <c r="M84" s="63"/>
      <c r="N84" s="66"/>
      <c r="O84" s="69">
        <v>1</v>
      </c>
      <c r="P84" s="69" t="s">
        <v>640</v>
      </c>
    </row>
    <row r="85" spans="1:20" ht="17.25" x14ac:dyDescent="0.3">
      <c r="A85" s="25">
        <v>82</v>
      </c>
      <c r="B85" s="63" t="s">
        <v>488</v>
      </c>
      <c r="C85" s="63" t="s">
        <v>489</v>
      </c>
      <c r="D85" s="63"/>
      <c r="E85" s="64"/>
      <c r="F85" s="34"/>
      <c r="G85" s="64"/>
      <c r="H85" s="67"/>
      <c r="I85" s="63"/>
      <c r="J85" s="63"/>
      <c r="K85" s="63"/>
      <c r="L85" s="63"/>
      <c r="M85" s="63"/>
      <c r="N85" s="66"/>
      <c r="O85" s="69">
        <v>1</v>
      </c>
      <c r="P85" s="69" t="s">
        <v>640</v>
      </c>
    </row>
    <row r="86" spans="1:20" ht="17.25" x14ac:dyDescent="0.3">
      <c r="A86" s="25">
        <v>83</v>
      </c>
      <c r="B86" s="63" t="s">
        <v>488</v>
      </c>
      <c r="C86" s="63" t="s">
        <v>490</v>
      </c>
      <c r="D86" s="63"/>
      <c r="E86" s="64"/>
      <c r="F86" s="34"/>
      <c r="G86" s="64"/>
      <c r="H86" s="67"/>
      <c r="I86" s="63"/>
      <c r="J86" s="63"/>
      <c r="K86" s="63"/>
      <c r="L86" s="63"/>
      <c r="M86" s="63"/>
      <c r="N86" s="66"/>
      <c r="O86" s="69">
        <v>1</v>
      </c>
      <c r="P86" s="69" t="s">
        <v>640</v>
      </c>
    </row>
    <row r="87" spans="1:20" ht="17.25" x14ac:dyDescent="0.3">
      <c r="A87" s="25">
        <v>84</v>
      </c>
      <c r="B87" s="63" t="s">
        <v>488</v>
      </c>
      <c r="C87" s="63" t="s">
        <v>491</v>
      </c>
      <c r="D87" s="63"/>
      <c r="E87" s="64"/>
      <c r="F87" s="34"/>
      <c r="G87" s="64"/>
      <c r="H87" s="67"/>
      <c r="I87" s="63"/>
      <c r="J87" s="63"/>
      <c r="K87" s="63"/>
      <c r="L87" s="63"/>
      <c r="M87" s="63"/>
      <c r="N87" s="66"/>
      <c r="O87" s="69">
        <v>1</v>
      </c>
      <c r="P87" s="69" t="s">
        <v>640</v>
      </c>
    </row>
    <row r="88" spans="1:20" ht="17.25" x14ac:dyDescent="0.3">
      <c r="A88" s="25">
        <v>85</v>
      </c>
      <c r="B88" s="63" t="s">
        <v>488</v>
      </c>
      <c r="C88" s="63" t="s">
        <v>492</v>
      </c>
      <c r="D88" s="63"/>
      <c r="E88" s="64"/>
      <c r="F88" s="34"/>
      <c r="G88" s="64"/>
      <c r="H88" s="67"/>
      <c r="I88" s="63"/>
      <c r="J88" s="63"/>
      <c r="K88" s="63"/>
      <c r="L88" s="63"/>
      <c r="M88" s="63"/>
      <c r="N88" s="66"/>
      <c r="O88" s="69">
        <v>1</v>
      </c>
      <c r="P88" s="69" t="s">
        <v>640</v>
      </c>
    </row>
    <row r="89" spans="1:20" ht="17.25" x14ac:dyDescent="0.3">
      <c r="A89" s="25">
        <v>86</v>
      </c>
      <c r="B89" s="36" t="s">
        <v>493</v>
      </c>
      <c r="C89" s="36" t="s">
        <v>494</v>
      </c>
      <c r="D89" s="37" t="s">
        <v>272</v>
      </c>
      <c r="E89" s="39" t="s">
        <v>260</v>
      </c>
      <c r="F89" s="32"/>
      <c r="G89" s="39" t="s">
        <v>260</v>
      </c>
      <c r="H89" s="36" t="s">
        <v>304</v>
      </c>
      <c r="I89" s="36" t="s">
        <v>495</v>
      </c>
      <c r="J89" s="36" t="s">
        <v>496</v>
      </c>
      <c r="K89" s="36">
        <f>Q89+6</f>
        <v>94</v>
      </c>
      <c r="L89" s="36">
        <f>R89+7</f>
        <v>47</v>
      </c>
      <c r="M89" s="36">
        <f>S89+4</f>
        <v>92</v>
      </c>
      <c r="N89" s="38">
        <f>T89+22</f>
        <v>104</v>
      </c>
      <c r="O89" s="69">
        <v>1</v>
      </c>
      <c r="P89" s="69" t="s">
        <v>640</v>
      </c>
      <c r="Q89" s="36">
        <v>88</v>
      </c>
      <c r="R89" s="36">
        <v>40</v>
      </c>
      <c r="S89" s="36">
        <v>88</v>
      </c>
      <c r="T89" s="38">
        <v>82</v>
      </c>
    </row>
    <row r="90" spans="1:20" ht="17.25" x14ac:dyDescent="0.3">
      <c r="A90" s="25">
        <v>87</v>
      </c>
      <c r="B90" s="36" t="s">
        <v>493</v>
      </c>
      <c r="C90" s="36" t="s">
        <v>497</v>
      </c>
      <c r="D90" s="39" t="s">
        <v>260</v>
      </c>
      <c r="E90" s="39" t="s">
        <v>260</v>
      </c>
      <c r="F90" s="34"/>
      <c r="G90" s="37" t="s">
        <v>272</v>
      </c>
      <c r="H90" s="36" t="s">
        <v>304</v>
      </c>
      <c r="I90" s="41" t="s">
        <v>310</v>
      </c>
      <c r="J90" s="36" t="s">
        <v>496</v>
      </c>
      <c r="K90" s="36">
        <f>Q90+6</f>
        <v>95</v>
      </c>
      <c r="L90" s="36">
        <f>R90+7</f>
        <v>32</v>
      </c>
      <c r="M90" s="36">
        <f>S90+4</f>
        <v>87</v>
      </c>
      <c r="N90" s="38">
        <f>T90+23</f>
        <v>109</v>
      </c>
      <c r="O90" s="69">
        <v>1</v>
      </c>
      <c r="P90" s="69" t="s">
        <v>640</v>
      </c>
      <c r="Q90" s="36">
        <v>89</v>
      </c>
      <c r="R90" s="36">
        <v>25</v>
      </c>
      <c r="S90" s="36">
        <v>83</v>
      </c>
      <c r="T90" s="38">
        <v>86</v>
      </c>
    </row>
    <row r="91" spans="1:20" ht="17.25" x14ac:dyDescent="0.3">
      <c r="A91" s="25">
        <v>88</v>
      </c>
      <c r="B91" s="36" t="s">
        <v>493</v>
      </c>
      <c r="C91" s="36" t="s">
        <v>498</v>
      </c>
      <c r="D91" s="37" t="s">
        <v>272</v>
      </c>
      <c r="E91" s="37" t="s">
        <v>272</v>
      </c>
      <c r="F91" s="32"/>
      <c r="G91" s="39" t="s">
        <v>260</v>
      </c>
      <c r="H91" s="36" t="s">
        <v>304</v>
      </c>
      <c r="I91" s="36" t="s">
        <v>419</v>
      </c>
      <c r="J91" s="36" t="s">
        <v>419</v>
      </c>
      <c r="K91" s="36">
        <v>42</v>
      </c>
      <c r="L91" s="36">
        <v>101</v>
      </c>
      <c r="M91" s="36">
        <v>100</v>
      </c>
      <c r="N91" s="38">
        <v>103</v>
      </c>
      <c r="O91" s="69">
        <v>1</v>
      </c>
      <c r="P91" s="69" t="s">
        <v>640</v>
      </c>
      <c r="Q91" s="36">
        <v>20</v>
      </c>
      <c r="R91" s="36">
        <v>91</v>
      </c>
      <c r="S91" s="36">
        <v>63</v>
      </c>
      <c r="T91" s="38">
        <v>72</v>
      </c>
    </row>
    <row r="92" spans="1:20" ht="17.25" x14ac:dyDescent="0.3">
      <c r="A92" s="25">
        <v>89</v>
      </c>
      <c r="B92" s="42" t="s">
        <v>499</v>
      </c>
      <c r="C92" s="42" t="s">
        <v>500</v>
      </c>
      <c r="D92" s="53" t="s">
        <v>272</v>
      </c>
      <c r="E92" s="43" t="s">
        <v>260</v>
      </c>
      <c r="F92" s="45"/>
      <c r="G92" s="42" t="s">
        <v>304</v>
      </c>
      <c r="H92" s="42" t="s">
        <v>304</v>
      </c>
      <c r="I92" s="42" t="s">
        <v>304</v>
      </c>
      <c r="J92" s="42" t="s">
        <v>304</v>
      </c>
      <c r="K92" s="42">
        <v>86</v>
      </c>
      <c r="L92" s="42">
        <v>64</v>
      </c>
      <c r="M92" s="42">
        <v>82</v>
      </c>
      <c r="N92" s="46">
        <v>86</v>
      </c>
      <c r="O92" s="69">
        <v>1</v>
      </c>
      <c r="P92" s="69" t="s">
        <v>640</v>
      </c>
    </row>
    <row r="93" spans="1:20" ht="17.25" x14ac:dyDescent="0.3">
      <c r="A93" s="25">
        <v>90</v>
      </c>
      <c r="B93" s="42" t="s">
        <v>499</v>
      </c>
      <c r="C93" s="42" t="s">
        <v>501</v>
      </c>
      <c r="D93" s="43" t="s">
        <v>260</v>
      </c>
      <c r="E93" s="44" t="s">
        <v>261</v>
      </c>
      <c r="F93" s="45"/>
      <c r="G93" s="42" t="s">
        <v>304</v>
      </c>
      <c r="H93" s="42" t="s">
        <v>304</v>
      </c>
      <c r="I93" s="42" t="s">
        <v>304</v>
      </c>
      <c r="J93" s="42" t="s">
        <v>304</v>
      </c>
      <c r="K93" s="42">
        <v>86</v>
      </c>
      <c r="L93" s="42">
        <v>59</v>
      </c>
      <c r="M93" s="42">
        <v>80</v>
      </c>
      <c r="N93" s="46">
        <v>88</v>
      </c>
      <c r="O93" s="69">
        <v>1</v>
      </c>
      <c r="P93" s="69" t="s">
        <v>640</v>
      </c>
    </row>
    <row r="94" spans="1:20" ht="17.25" x14ac:dyDescent="0.3">
      <c r="A94" s="25">
        <v>91</v>
      </c>
      <c r="B94" s="42" t="s">
        <v>502</v>
      </c>
      <c r="C94" s="42" t="s">
        <v>503</v>
      </c>
      <c r="D94" s="42" t="s">
        <v>304</v>
      </c>
      <c r="E94" s="43" t="s">
        <v>260</v>
      </c>
      <c r="F94" s="45"/>
      <c r="G94" s="42" t="s">
        <v>304</v>
      </c>
      <c r="H94" s="42" t="s">
        <v>304</v>
      </c>
      <c r="I94" s="42" t="s">
        <v>304</v>
      </c>
      <c r="J94" s="42" t="s">
        <v>304</v>
      </c>
      <c r="K94" s="42">
        <v>79</v>
      </c>
      <c r="L94" s="42">
        <v>69</v>
      </c>
      <c r="M94" s="42">
        <v>72</v>
      </c>
      <c r="N94" s="46">
        <v>65</v>
      </c>
      <c r="O94" s="69">
        <v>1</v>
      </c>
      <c r="P94" s="69" t="s">
        <v>640</v>
      </c>
    </row>
    <row r="95" spans="1:20" ht="17.25" x14ac:dyDescent="0.3">
      <c r="A95" s="25">
        <v>92</v>
      </c>
      <c r="B95" s="42" t="s">
        <v>502</v>
      </c>
      <c r="C95" s="42" t="s">
        <v>504</v>
      </c>
      <c r="D95" s="42" t="s">
        <v>304</v>
      </c>
      <c r="E95" s="44" t="s">
        <v>261</v>
      </c>
      <c r="F95" s="45"/>
      <c r="G95" s="42" t="s">
        <v>304</v>
      </c>
      <c r="H95" s="42" t="s">
        <v>304</v>
      </c>
      <c r="I95" s="42" t="s">
        <v>304</v>
      </c>
      <c r="J95" s="42" t="s">
        <v>304</v>
      </c>
      <c r="K95" s="42">
        <v>65</v>
      </c>
      <c r="L95" s="42">
        <v>27</v>
      </c>
      <c r="M95" s="42">
        <v>74</v>
      </c>
      <c r="N95" s="46">
        <v>77</v>
      </c>
      <c r="O95" s="69">
        <v>1</v>
      </c>
      <c r="P95" s="69" t="s">
        <v>640</v>
      </c>
    </row>
    <row r="96" spans="1:20" ht="17.25" x14ac:dyDescent="0.3">
      <c r="A96" s="25">
        <v>93</v>
      </c>
      <c r="B96" s="69" t="s">
        <v>505</v>
      </c>
      <c r="C96" s="69" t="s">
        <v>506</v>
      </c>
      <c r="D96" s="70" t="s">
        <v>272</v>
      </c>
      <c r="E96" s="71" t="s">
        <v>261</v>
      </c>
      <c r="F96" s="32"/>
      <c r="G96" s="72" t="s">
        <v>260</v>
      </c>
      <c r="H96" s="71" t="s">
        <v>261</v>
      </c>
      <c r="I96" s="69" t="s">
        <v>507</v>
      </c>
      <c r="J96" s="69" t="s">
        <v>496</v>
      </c>
      <c r="K96" s="69">
        <v>96</v>
      </c>
      <c r="L96" s="69">
        <v>65</v>
      </c>
      <c r="M96" s="69">
        <v>89</v>
      </c>
      <c r="N96" s="73">
        <v>109</v>
      </c>
      <c r="O96" s="69">
        <v>1</v>
      </c>
      <c r="P96" s="69" t="s">
        <v>549</v>
      </c>
    </row>
    <row r="97" spans="1:16" ht="17.25" x14ac:dyDescent="0.3">
      <c r="A97" s="25">
        <v>94</v>
      </c>
      <c r="B97" s="69" t="s">
        <v>505</v>
      </c>
      <c r="C97" s="69" t="s">
        <v>508</v>
      </c>
      <c r="D97" s="72" t="s">
        <v>260</v>
      </c>
      <c r="E97" s="72" t="s">
        <v>260</v>
      </c>
      <c r="F97" s="32"/>
      <c r="G97" s="72" t="s">
        <v>260</v>
      </c>
      <c r="H97" s="71" t="s">
        <v>261</v>
      </c>
      <c r="I97" s="74" t="s">
        <v>509</v>
      </c>
      <c r="J97" s="69" t="s">
        <v>496</v>
      </c>
      <c r="K97" s="69">
        <v>95</v>
      </c>
      <c r="L97" s="69">
        <v>68</v>
      </c>
      <c r="M97" s="69">
        <v>90</v>
      </c>
      <c r="N97" s="73">
        <v>109</v>
      </c>
      <c r="O97" s="69">
        <v>1</v>
      </c>
      <c r="P97" s="69" t="s">
        <v>549</v>
      </c>
    </row>
    <row r="98" spans="1:16" ht="17.25" x14ac:dyDescent="0.3">
      <c r="A98" s="25">
        <v>95</v>
      </c>
      <c r="B98" s="69" t="s">
        <v>505</v>
      </c>
      <c r="C98" s="69" t="s">
        <v>510</v>
      </c>
      <c r="D98" s="72" t="s">
        <v>260</v>
      </c>
      <c r="E98" s="71" t="s">
        <v>261</v>
      </c>
      <c r="F98" s="29"/>
      <c r="G98" s="71" t="s">
        <v>261</v>
      </c>
      <c r="H98" s="72" t="s">
        <v>260</v>
      </c>
      <c r="I98" s="69" t="s">
        <v>511</v>
      </c>
      <c r="J98" s="69" t="s">
        <v>512</v>
      </c>
      <c r="K98" s="69">
        <v>94</v>
      </c>
      <c r="L98" s="69">
        <v>63</v>
      </c>
      <c r="M98" s="69">
        <v>91</v>
      </c>
      <c r="N98" s="73">
        <v>109</v>
      </c>
      <c r="O98" s="69">
        <v>1</v>
      </c>
      <c r="P98" s="69" t="s">
        <v>549</v>
      </c>
    </row>
    <row r="99" spans="1:16" ht="17.25" x14ac:dyDescent="0.3">
      <c r="A99" s="25">
        <v>96</v>
      </c>
      <c r="B99" s="69" t="s">
        <v>505</v>
      </c>
      <c r="C99" s="69" t="s">
        <v>513</v>
      </c>
      <c r="D99" s="71" t="s">
        <v>261</v>
      </c>
      <c r="E99" s="72" t="s">
        <v>260</v>
      </c>
      <c r="F99" s="29"/>
      <c r="G99" s="71" t="s">
        <v>261</v>
      </c>
      <c r="H99" s="72" t="s">
        <v>260</v>
      </c>
      <c r="I99" s="69" t="s">
        <v>514</v>
      </c>
      <c r="J99" s="69" t="s">
        <v>496</v>
      </c>
      <c r="K99" s="69">
        <v>98</v>
      </c>
      <c r="L99" s="69">
        <v>65</v>
      </c>
      <c r="M99" s="69">
        <v>91</v>
      </c>
      <c r="N99" s="73">
        <v>111</v>
      </c>
      <c r="O99" s="69">
        <v>1</v>
      </c>
      <c r="P99" s="69" t="s">
        <v>549</v>
      </c>
    </row>
    <row r="100" spans="1:16" ht="17.25" x14ac:dyDescent="0.3">
      <c r="A100" s="25">
        <v>97</v>
      </c>
      <c r="B100" s="69" t="s">
        <v>515</v>
      </c>
      <c r="C100" s="69" t="s">
        <v>516</v>
      </c>
      <c r="D100" s="72" t="s">
        <v>260</v>
      </c>
      <c r="E100" s="70" t="s">
        <v>272</v>
      </c>
      <c r="F100" s="45"/>
      <c r="G100" s="70" t="s">
        <v>272</v>
      </c>
      <c r="H100" s="71" t="s">
        <v>261</v>
      </c>
      <c r="I100" s="69" t="s">
        <v>517</v>
      </c>
      <c r="J100" s="69" t="s">
        <v>518</v>
      </c>
      <c r="K100" s="69">
        <v>97</v>
      </c>
      <c r="L100" s="69">
        <v>72</v>
      </c>
      <c r="M100" s="69">
        <v>89</v>
      </c>
      <c r="N100" s="73">
        <v>108</v>
      </c>
      <c r="O100" s="69">
        <v>2</v>
      </c>
      <c r="P100" s="69" t="s">
        <v>549</v>
      </c>
    </row>
    <row r="101" spans="1:16" ht="17.25" x14ac:dyDescent="0.3">
      <c r="A101" s="25">
        <v>98</v>
      </c>
      <c r="B101" s="69" t="s">
        <v>515</v>
      </c>
      <c r="C101" s="69" t="s">
        <v>519</v>
      </c>
      <c r="D101" s="70" t="s">
        <v>272</v>
      </c>
      <c r="E101" s="71" t="s">
        <v>261</v>
      </c>
      <c r="F101" s="34"/>
      <c r="G101" s="70" t="s">
        <v>272</v>
      </c>
      <c r="H101" s="70" t="s">
        <v>272</v>
      </c>
      <c r="I101" s="69" t="s">
        <v>520</v>
      </c>
      <c r="J101" s="69" t="s">
        <v>521</v>
      </c>
      <c r="K101" s="69">
        <v>91</v>
      </c>
      <c r="L101" s="69">
        <v>63</v>
      </c>
      <c r="M101" s="69">
        <v>92</v>
      </c>
      <c r="N101" s="73">
        <v>115</v>
      </c>
      <c r="O101" s="69">
        <v>1</v>
      </c>
      <c r="P101" s="69" t="s">
        <v>549</v>
      </c>
    </row>
    <row r="102" spans="1:16" ht="17.25" x14ac:dyDescent="0.3">
      <c r="A102" s="25">
        <v>99</v>
      </c>
      <c r="B102" s="69" t="s">
        <v>522</v>
      </c>
      <c r="C102" s="69" t="s">
        <v>523</v>
      </c>
      <c r="D102" s="71" t="s">
        <v>261</v>
      </c>
      <c r="E102" s="72" t="s">
        <v>260</v>
      </c>
      <c r="F102" s="34"/>
      <c r="G102" s="71" t="s">
        <v>261</v>
      </c>
      <c r="H102" s="72" t="s">
        <v>260</v>
      </c>
      <c r="I102" s="69" t="s">
        <v>524</v>
      </c>
      <c r="J102" s="69" t="s">
        <v>524</v>
      </c>
      <c r="K102" s="69">
        <v>97</v>
      </c>
      <c r="L102" s="69">
        <v>78</v>
      </c>
      <c r="M102" s="69">
        <v>90</v>
      </c>
      <c r="N102" s="73">
        <v>110</v>
      </c>
      <c r="O102" s="69">
        <v>2</v>
      </c>
      <c r="P102" s="69" t="s">
        <v>549</v>
      </c>
    </row>
    <row r="103" spans="1:16" ht="17.25" x14ac:dyDescent="0.3">
      <c r="A103" s="25">
        <v>100</v>
      </c>
      <c r="B103" s="69" t="s">
        <v>525</v>
      </c>
      <c r="C103" s="69" t="s">
        <v>526</v>
      </c>
      <c r="D103" s="70" t="s">
        <v>272</v>
      </c>
      <c r="E103" s="70" t="s">
        <v>272</v>
      </c>
      <c r="F103" s="34"/>
      <c r="G103" s="70" t="s">
        <v>272</v>
      </c>
      <c r="H103" s="72" t="s">
        <v>260</v>
      </c>
      <c r="I103" s="69" t="s">
        <v>527</v>
      </c>
      <c r="J103" s="69" t="s">
        <v>528</v>
      </c>
      <c r="K103" s="69">
        <v>97</v>
      </c>
      <c r="L103" s="69">
        <v>78</v>
      </c>
      <c r="M103" s="69">
        <v>90</v>
      </c>
      <c r="N103" s="73">
        <v>110</v>
      </c>
      <c r="O103" s="69">
        <v>1</v>
      </c>
      <c r="P103" s="69" t="s">
        <v>549</v>
      </c>
    </row>
    <row r="104" spans="1:16" ht="17.25" x14ac:dyDescent="0.3">
      <c r="A104" s="25">
        <v>101</v>
      </c>
      <c r="B104" s="69" t="s">
        <v>529</v>
      </c>
      <c r="C104" s="69" t="s">
        <v>530</v>
      </c>
      <c r="D104" s="75" t="s">
        <v>531</v>
      </c>
      <c r="E104" s="70" t="s">
        <v>272</v>
      </c>
      <c r="F104" s="34"/>
      <c r="G104" s="70" t="s">
        <v>272</v>
      </c>
      <c r="H104" s="72" t="s">
        <v>260</v>
      </c>
      <c r="I104" s="69" t="s">
        <v>532</v>
      </c>
      <c r="J104" s="69" t="s">
        <v>533</v>
      </c>
      <c r="K104" s="69">
        <v>97</v>
      </c>
      <c r="L104" s="69">
        <v>78</v>
      </c>
      <c r="M104" s="69">
        <v>90</v>
      </c>
      <c r="N104" s="73">
        <v>110</v>
      </c>
      <c r="O104" s="69">
        <v>1</v>
      </c>
      <c r="P104" s="69" t="s">
        <v>549</v>
      </c>
    </row>
    <row r="105" spans="1:16" ht="17.25" x14ac:dyDescent="0.3">
      <c r="A105" s="25">
        <v>102</v>
      </c>
      <c r="B105" s="69" t="s">
        <v>529</v>
      </c>
      <c r="C105" s="69" t="s">
        <v>534</v>
      </c>
      <c r="D105" s="70" t="s">
        <v>272</v>
      </c>
      <c r="E105" s="70" t="s">
        <v>272</v>
      </c>
      <c r="F105" s="34"/>
      <c r="G105" s="70" t="s">
        <v>272</v>
      </c>
      <c r="H105" s="72" t="s">
        <v>260</v>
      </c>
      <c r="I105" s="69" t="s">
        <v>535</v>
      </c>
      <c r="J105" s="69" t="s">
        <v>533</v>
      </c>
      <c r="K105" s="69">
        <v>97</v>
      </c>
      <c r="L105" s="69">
        <v>78</v>
      </c>
      <c r="M105" s="69">
        <v>90</v>
      </c>
      <c r="N105" s="73">
        <v>110</v>
      </c>
      <c r="O105" s="69">
        <v>1</v>
      </c>
      <c r="P105" s="69" t="s">
        <v>549</v>
      </c>
    </row>
    <row r="106" spans="1:16" ht="17.25" x14ac:dyDescent="0.3">
      <c r="A106" s="25">
        <v>103</v>
      </c>
      <c r="B106" s="69" t="s">
        <v>529</v>
      </c>
      <c r="C106" s="69" t="s">
        <v>536</v>
      </c>
      <c r="D106" s="72" t="s">
        <v>260</v>
      </c>
      <c r="E106" s="72" t="s">
        <v>260</v>
      </c>
      <c r="F106" s="34"/>
      <c r="G106" s="72" t="s">
        <v>260</v>
      </c>
      <c r="H106" s="70" t="s">
        <v>272</v>
      </c>
      <c r="I106" s="69" t="s">
        <v>537</v>
      </c>
      <c r="J106" s="69" t="s">
        <v>533</v>
      </c>
      <c r="K106" s="69">
        <v>96</v>
      </c>
      <c r="L106" s="69">
        <v>65</v>
      </c>
      <c r="M106" s="69">
        <v>89</v>
      </c>
      <c r="N106" s="73">
        <v>109</v>
      </c>
      <c r="O106" s="69">
        <v>1</v>
      </c>
      <c r="P106" s="69" t="s">
        <v>549</v>
      </c>
    </row>
    <row r="107" spans="1:16" ht="17.25" x14ac:dyDescent="0.3">
      <c r="A107" s="25">
        <v>104</v>
      </c>
      <c r="B107" s="69" t="s">
        <v>529</v>
      </c>
      <c r="C107" s="69" t="s">
        <v>681</v>
      </c>
      <c r="D107" s="75" t="s">
        <v>538</v>
      </c>
      <c r="E107" s="71" t="s">
        <v>261</v>
      </c>
      <c r="F107" s="34"/>
      <c r="G107" s="70" t="s">
        <v>272</v>
      </c>
      <c r="H107" s="72" t="s">
        <v>260</v>
      </c>
      <c r="I107" s="69" t="s">
        <v>539</v>
      </c>
      <c r="J107" s="69" t="s">
        <v>539</v>
      </c>
      <c r="K107" s="69">
        <v>95</v>
      </c>
      <c r="L107" s="69">
        <v>68</v>
      </c>
      <c r="M107" s="69">
        <v>90</v>
      </c>
      <c r="N107" s="73">
        <v>109</v>
      </c>
      <c r="O107" s="69">
        <v>1</v>
      </c>
      <c r="P107" s="69" t="s">
        <v>549</v>
      </c>
    </row>
    <row r="108" spans="1:16" ht="17.25" x14ac:dyDescent="0.3">
      <c r="A108" s="25">
        <v>105</v>
      </c>
      <c r="B108" s="36" t="s">
        <v>540</v>
      </c>
      <c r="C108" s="36" t="s">
        <v>541</v>
      </c>
      <c r="D108" s="40" t="s">
        <v>261</v>
      </c>
      <c r="E108" s="40" t="s">
        <v>261</v>
      </c>
      <c r="F108" s="34"/>
      <c r="G108" s="37" t="s">
        <v>272</v>
      </c>
      <c r="H108" s="36" t="s">
        <v>304</v>
      </c>
      <c r="I108" s="41" t="s">
        <v>542</v>
      </c>
      <c r="J108" s="36" t="s">
        <v>496</v>
      </c>
      <c r="K108" s="36">
        <v>88</v>
      </c>
      <c r="L108" s="36">
        <v>40</v>
      </c>
      <c r="M108" s="36">
        <v>88</v>
      </c>
      <c r="N108" s="38">
        <v>98</v>
      </c>
      <c r="O108" s="69">
        <v>1</v>
      </c>
      <c r="P108" s="69" t="s">
        <v>549</v>
      </c>
    </row>
    <row r="109" spans="1:16" ht="17.25" x14ac:dyDescent="0.3">
      <c r="A109" s="76">
        <v>106</v>
      </c>
      <c r="B109" s="77" t="s">
        <v>540</v>
      </c>
      <c r="C109" s="77" t="s">
        <v>543</v>
      </c>
      <c r="D109" s="77" t="s">
        <v>544</v>
      </c>
      <c r="E109" s="78" t="s">
        <v>261</v>
      </c>
      <c r="F109" s="79"/>
      <c r="G109" s="78" t="s">
        <v>261</v>
      </c>
      <c r="H109" s="77" t="s">
        <v>304</v>
      </c>
      <c r="I109" s="77" t="s">
        <v>545</v>
      </c>
      <c r="J109" s="77" t="s">
        <v>545</v>
      </c>
      <c r="K109" s="77">
        <v>89</v>
      </c>
      <c r="L109" s="77">
        <v>25</v>
      </c>
      <c r="M109" s="77">
        <v>83</v>
      </c>
      <c r="N109" s="80">
        <v>103</v>
      </c>
      <c r="O109" s="69">
        <v>1</v>
      </c>
      <c r="P109" s="69" t="s">
        <v>549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9E4F27-52F2-481C-A3E7-7C853ADD75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성장 시뮬레이터</vt:lpstr>
      <vt:lpstr>최종장수능력치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 m</dc:creator>
  <cp:lastModifiedBy>jy m</cp:lastModifiedBy>
  <dcterms:created xsi:type="dcterms:W3CDTF">2026-01-26T04:34:04Z</dcterms:created>
  <dcterms:modified xsi:type="dcterms:W3CDTF">2026-10-12T06:21:45Z</dcterms:modified>
</cp:coreProperties>
</file>